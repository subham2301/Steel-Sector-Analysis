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F312F2DA-38FE-450A-B2A4-F51E1F0B3298}" xr6:coauthVersionLast="47" xr6:coauthVersionMax="47" xr10:uidLastSave="{00000000-0000-0000-0000-000000000000}"/>
  <bookViews>
    <workbookView xWindow="-108" yWindow="-108" windowWidth="23256" windowHeight="12456" xr2:uid="{A9BE1D30-BE58-4A0F-8DA9-6A5E00F3DE33}"/>
  </bookViews>
  <sheets>
    <sheet name="Index" sheetId="12" r:id="rId1"/>
    <sheet name="1.Super Trend" sheetId="2" r:id="rId2"/>
    <sheet name="2.RSI" sheetId="9" r:id="rId3"/>
    <sheet name="3. Fibonacci MA" sheetId="8" r:id="rId4"/>
    <sheet name="4.VWAP" sheetId="3" r:id="rId5"/>
    <sheet name="5.MACD" sheetId="7" r:id="rId6"/>
    <sheet name="6.Stochastic RSI" sheetId="1" r:id="rId7"/>
    <sheet name="7.Pivot Point Standard" sheetId="5" r:id="rId8"/>
    <sheet name="8. Awesome Oscillator" sheetId="6" r:id="rId9"/>
    <sheet name="9.Bollinger Bands" sheetId="4" r:id="rId10"/>
    <sheet name="10.CPR" sheetId="10" r:id="rId11"/>
    <sheet name="Ranking"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5" i="7" l="1"/>
  <c r="L45" i="7"/>
  <c r="K45" i="7"/>
  <c r="M45" i="8"/>
  <c r="M61" i="8" s="1"/>
  <c r="L45" i="8"/>
  <c r="L61" i="8" s="1"/>
  <c r="K45" i="8"/>
  <c r="K61" i="8" s="1"/>
  <c r="F66" i="8" s="1"/>
  <c r="D5" i="13"/>
  <c r="D4" i="13"/>
  <c r="C4" i="13"/>
  <c r="C5" i="13"/>
  <c r="D7" i="13"/>
  <c r="C7" i="13"/>
  <c r="D9" i="13"/>
  <c r="C9" i="13"/>
  <c r="D10" i="13"/>
  <c r="C10" i="13"/>
  <c r="D11" i="13"/>
  <c r="C11" i="13"/>
  <c r="D12" i="13"/>
  <c r="C12" i="13"/>
  <c r="D13" i="13"/>
  <c r="C13" i="13"/>
  <c r="M61" i="10"/>
  <c r="L61" i="10"/>
  <c r="K61" i="10"/>
  <c r="E61" i="10"/>
  <c r="F68" i="10" s="1"/>
  <c r="D61" i="10"/>
  <c r="F67" i="10" s="1"/>
  <c r="C61" i="10"/>
  <c r="F66" i="10" s="1"/>
  <c r="M61" i="4"/>
  <c r="L61" i="4"/>
  <c r="K61" i="4"/>
  <c r="E61" i="4"/>
  <c r="F68" i="4" s="1"/>
  <c r="D61" i="4"/>
  <c r="F67" i="4" s="1"/>
  <c r="C61" i="4"/>
  <c r="F66" i="4" s="1"/>
  <c r="M61" i="6"/>
  <c r="L61" i="6"/>
  <c r="K61" i="6"/>
  <c r="E61" i="6"/>
  <c r="F68" i="6" s="1"/>
  <c r="D61" i="6"/>
  <c r="F67" i="6" s="1"/>
  <c r="C61" i="6"/>
  <c r="F66" i="6" s="1"/>
  <c r="M61" i="5"/>
  <c r="L61" i="5"/>
  <c r="K61" i="5"/>
  <c r="E61" i="5"/>
  <c r="F68" i="5" s="1"/>
  <c r="D61" i="5"/>
  <c r="F67" i="5" s="1"/>
  <c r="C61" i="5"/>
  <c r="F66" i="5" s="1"/>
  <c r="M61" i="7"/>
  <c r="L61" i="7"/>
  <c r="K61" i="7"/>
  <c r="E61" i="7"/>
  <c r="D61" i="7"/>
  <c r="C61" i="7"/>
  <c r="M61" i="3"/>
  <c r="L61" i="3"/>
  <c r="K61" i="3"/>
  <c r="E61" i="3"/>
  <c r="F68" i="3" s="1"/>
  <c r="D61" i="3"/>
  <c r="F67" i="3" s="1"/>
  <c r="C61" i="3"/>
  <c r="F66" i="3" s="1"/>
  <c r="E61" i="8"/>
  <c r="D61" i="8"/>
  <c r="C61" i="8"/>
  <c r="M61" i="9"/>
  <c r="L61" i="9"/>
  <c r="K61" i="9"/>
  <c r="E61" i="9"/>
  <c r="F68" i="9" s="1"/>
  <c r="D61" i="9"/>
  <c r="F67" i="9" s="1"/>
  <c r="C61" i="9"/>
  <c r="F66" i="9" s="1"/>
  <c r="F66" i="2"/>
  <c r="M61" i="2"/>
  <c r="L61" i="2"/>
  <c r="K61" i="2"/>
  <c r="E61" i="2"/>
  <c r="F68" i="2" s="1"/>
  <c r="D61" i="2"/>
  <c r="F67" i="2" s="1"/>
  <c r="C61" i="2"/>
  <c r="M45" i="1"/>
  <c r="L45" i="1"/>
  <c r="K45" i="1"/>
  <c r="M59" i="10"/>
  <c r="L59" i="10"/>
  <c r="K59" i="10"/>
  <c r="E59" i="10"/>
  <c r="D59" i="10"/>
  <c r="C59" i="10"/>
  <c r="M45" i="10"/>
  <c r="L45" i="10"/>
  <c r="K45" i="10"/>
  <c r="E45" i="10"/>
  <c r="D45" i="10"/>
  <c r="C45" i="10"/>
  <c r="E31" i="10"/>
  <c r="D31" i="10"/>
  <c r="C31" i="10"/>
  <c r="M31" i="10"/>
  <c r="L31" i="10"/>
  <c r="K31" i="10"/>
  <c r="M17" i="10"/>
  <c r="L17" i="10"/>
  <c r="K17" i="10"/>
  <c r="E17" i="10"/>
  <c r="D17" i="10"/>
  <c r="C17" i="10"/>
  <c r="M59" i="4"/>
  <c r="L59" i="4"/>
  <c r="K59" i="4"/>
  <c r="E59" i="4"/>
  <c r="D59" i="4"/>
  <c r="C59" i="4"/>
  <c r="M45" i="4"/>
  <c r="L45" i="4"/>
  <c r="K45" i="4"/>
  <c r="E45" i="4"/>
  <c r="D45" i="4"/>
  <c r="C45" i="4"/>
  <c r="E31" i="4"/>
  <c r="D31" i="4"/>
  <c r="C31" i="4"/>
  <c r="M31" i="4"/>
  <c r="L31" i="4"/>
  <c r="K31" i="4"/>
  <c r="M17" i="4"/>
  <c r="L17" i="4"/>
  <c r="K17" i="4"/>
  <c r="E17" i="4"/>
  <c r="D17" i="4"/>
  <c r="C17" i="4"/>
  <c r="E59" i="6"/>
  <c r="D59" i="6"/>
  <c r="C59" i="6"/>
  <c r="M59" i="6"/>
  <c r="L59" i="6"/>
  <c r="K59" i="6"/>
  <c r="M45" i="6"/>
  <c r="L45" i="6"/>
  <c r="K45" i="6"/>
  <c r="E45" i="6"/>
  <c r="D45" i="6"/>
  <c r="C45" i="6"/>
  <c r="E31" i="6"/>
  <c r="D31" i="6"/>
  <c r="C31" i="6"/>
  <c r="M31" i="6"/>
  <c r="L31" i="6"/>
  <c r="K31" i="6"/>
  <c r="M17" i="6"/>
  <c r="L17" i="6"/>
  <c r="K17" i="6"/>
  <c r="E17" i="6"/>
  <c r="D17" i="6"/>
  <c r="C17" i="6"/>
  <c r="M59" i="5"/>
  <c r="L59" i="5"/>
  <c r="K59" i="5"/>
  <c r="M45" i="5"/>
  <c r="L45" i="5"/>
  <c r="K45" i="5"/>
  <c r="E59" i="5"/>
  <c r="D59" i="5"/>
  <c r="C59" i="5"/>
  <c r="E45" i="5"/>
  <c r="D45" i="5"/>
  <c r="C45" i="5"/>
  <c r="E31" i="5"/>
  <c r="D31" i="5"/>
  <c r="C31" i="5"/>
  <c r="M31" i="5"/>
  <c r="L31" i="5"/>
  <c r="K31" i="5"/>
  <c r="M17" i="5"/>
  <c r="L17" i="5"/>
  <c r="K17" i="5"/>
  <c r="E17" i="5"/>
  <c r="D17" i="5"/>
  <c r="C17" i="5"/>
  <c r="M59" i="1"/>
  <c r="L59" i="1"/>
  <c r="K59" i="1"/>
  <c r="E59" i="1"/>
  <c r="D59" i="1"/>
  <c r="C59" i="1"/>
  <c r="E45" i="1"/>
  <c r="D45" i="1"/>
  <c r="C45" i="1"/>
  <c r="E31" i="1"/>
  <c r="D31" i="1"/>
  <c r="C31" i="1"/>
  <c r="M31" i="1"/>
  <c r="L31" i="1"/>
  <c r="K31" i="1"/>
  <c r="M17" i="1"/>
  <c r="L17" i="1"/>
  <c r="K17" i="1"/>
  <c r="E17" i="1"/>
  <c r="D17" i="1"/>
  <c r="C17" i="1"/>
  <c r="M59" i="7"/>
  <c r="L59" i="7"/>
  <c r="K59" i="7"/>
  <c r="E59" i="7"/>
  <c r="D59" i="7"/>
  <c r="C59" i="7"/>
  <c r="E45" i="7"/>
  <c r="D45" i="7"/>
  <c r="C45" i="7"/>
  <c r="E31" i="7"/>
  <c r="D31" i="7"/>
  <c r="C31" i="7"/>
  <c r="M31" i="7"/>
  <c r="L31" i="7"/>
  <c r="K31" i="7"/>
  <c r="M17" i="7"/>
  <c r="L17" i="7"/>
  <c r="K17" i="7"/>
  <c r="E17" i="7"/>
  <c r="D17" i="7"/>
  <c r="C17" i="7"/>
  <c r="M45" i="3"/>
  <c r="L45" i="3"/>
  <c r="K45" i="3"/>
  <c r="M17" i="3"/>
  <c r="L17" i="3"/>
  <c r="K17" i="3"/>
  <c r="M31" i="3"/>
  <c r="L31" i="3"/>
  <c r="K31" i="3"/>
  <c r="M59" i="3"/>
  <c r="L59" i="3"/>
  <c r="K59" i="3"/>
  <c r="E59" i="3"/>
  <c r="D59" i="3"/>
  <c r="C59" i="3"/>
  <c r="E45" i="3"/>
  <c r="D45" i="3"/>
  <c r="C45" i="3"/>
  <c r="E31" i="3"/>
  <c r="D31" i="3"/>
  <c r="C31" i="3"/>
  <c r="E17" i="3"/>
  <c r="D17" i="3"/>
  <c r="C17" i="3"/>
  <c r="M59" i="8"/>
  <c r="L59" i="8"/>
  <c r="K59" i="8"/>
  <c r="E59" i="8"/>
  <c r="D59" i="8"/>
  <c r="C59" i="8"/>
  <c r="E45" i="8"/>
  <c r="D45" i="8"/>
  <c r="C45" i="8"/>
  <c r="E31" i="8"/>
  <c r="D31" i="8"/>
  <c r="C31" i="8"/>
  <c r="M31" i="8"/>
  <c r="L31" i="8"/>
  <c r="K31" i="8"/>
  <c r="M17" i="8"/>
  <c r="L17" i="8"/>
  <c r="K17" i="8"/>
  <c r="E17" i="8"/>
  <c r="D17" i="8"/>
  <c r="C17" i="8"/>
  <c r="M59" i="9"/>
  <c r="L59" i="9"/>
  <c r="K59" i="9"/>
  <c r="M45" i="9"/>
  <c r="L45" i="9"/>
  <c r="K45" i="9"/>
  <c r="E59" i="9"/>
  <c r="D59" i="9"/>
  <c r="C59" i="9"/>
  <c r="E45" i="9"/>
  <c r="D45" i="9"/>
  <c r="C45" i="9"/>
  <c r="E31" i="9"/>
  <c r="D31" i="9"/>
  <c r="C31" i="9"/>
  <c r="M31" i="9"/>
  <c r="L31" i="9"/>
  <c r="K31" i="9"/>
  <c r="M17" i="9"/>
  <c r="L17" i="9"/>
  <c r="K17" i="9"/>
  <c r="E17" i="9"/>
  <c r="D17" i="9"/>
  <c r="C17" i="9"/>
  <c r="M31" i="2"/>
  <c r="L31" i="2"/>
  <c r="K31" i="2"/>
  <c r="M45" i="2"/>
  <c r="L45" i="2"/>
  <c r="K45" i="2"/>
  <c r="M59" i="2"/>
  <c r="L59" i="2"/>
  <c r="K59" i="2"/>
  <c r="E59" i="2"/>
  <c r="D59" i="2"/>
  <c r="C59" i="2"/>
  <c r="E45" i="2"/>
  <c r="D45" i="2"/>
  <c r="C45" i="2"/>
  <c r="E31" i="2"/>
  <c r="D31" i="2"/>
  <c r="C31" i="2"/>
  <c r="M17" i="2"/>
  <c r="L17" i="2"/>
  <c r="K17" i="2"/>
  <c r="E17" i="2"/>
  <c r="D17" i="2"/>
  <c r="C17" i="2"/>
  <c r="B9" i="9"/>
  <c r="F68" i="7" l="1"/>
  <c r="F67" i="7"/>
  <c r="F66" i="7"/>
  <c r="F68" i="8"/>
  <c r="F67" i="8"/>
  <c r="J67" i="10"/>
  <c r="J66" i="10"/>
  <c r="J67" i="4"/>
  <c r="J66" i="4"/>
  <c r="J67" i="6"/>
  <c r="J66" i="6"/>
  <c r="J67" i="5"/>
  <c r="J66" i="5"/>
  <c r="J67" i="7"/>
  <c r="D8" i="13" s="1"/>
  <c r="J66" i="7"/>
  <c r="C8" i="13" s="1"/>
  <c r="J67" i="3"/>
  <c r="J66" i="3"/>
  <c r="J67" i="8"/>
  <c r="D6" i="13" s="1"/>
  <c r="J66" i="8"/>
  <c r="C6" i="13" s="1"/>
  <c r="J67" i="9"/>
  <c r="J66" i="9"/>
  <c r="J67" i="2"/>
  <c r="J66" i="2"/>
  <c r="M61" i="1"/>
  <c r="K61" i="1"/>
  <c r="L61" i="1"/>
  <c r="C61" i="1"/>
  <c r="F66" i="1" s="1"/>
  <c r="E61" i="1"/>
  <c r="F68" i="1" s="1"/>
  <c r="J67" i="1" s="1"/>
  <c r="D61" i="1"/>
  <c r="F67" i="1" l="1"/>
  <c r="J66" i="1" s="1"/>
</calcChain>
</file>

<file path=xl/sharedStrings.xml><?xml version="1.0" encoding="utf-8"?>
<sst xmlns="http://schemas.openxmlformats.org/spreadsheetml/2006/main" count="1498" uniqueCount="58">
  <si>
    <t>BUY</t>
  </si>
  <si>
    <t>SELL</t>
  </si>
  <si>
    <t>Q1 (1 April 2025-30Jun 2025)</t>
  </si>
  <si>
    <t>Symbol</t>
  </si>
  <si>
    <t>Backtest P&amp;L</t>
  </si>
  <si>
    <t>Total number of trades</t>
  </si>
  <si>
    <t>Number of wins</t>
  </si>
  <si>
    <t>Number of losses</t>
  </si>
  <si>
    <t>JSWSTEEL</t>
  </si>
  <si>
    <t>TATASTEEL</t>
  </si>
  <si>
    <t>JINDALSTEEL</t>
  </si>
  <si>
    <t>SAIL</t>
  </si>
  <si>
    <t>JSL</t>
  </si>
  <si>
    <t>NSLNSIP</t>
  </si>
  <si>
    <t>SARDAEN</t>
  </si>
  <si>
    <t>JAIBALAJI</t>
  </si>
  <si>
    <t>PRAKASH</t>
  </si>
  <si>
    <t>MUKANDLTD</t>
  </si>
  <si>
    <t>Q2 (2 Jul 2025-30Sep 2025)</t>
  </si>
  <si>
    <t>Q3 (1Oct 2025- 30Dec 2025)</t>
  </si>
  <si>
    <t>Q4 (1 Jan 2026- 31 mar 2026)</t>
  </si>
  <si>
    <t>STEEL INDUSTRY (Stochastic RSI Indicator BackTesting)</t>
  </si>
  <si>
    <t>TOTAL OF BUY</t>
  </si>
  <si>
    <t>TOTAL</t>
  </si>
  <si>
    <t>STEEL INDUSTRY (Super Trend Indicator BackTesting)</t>
  </si>
  <si>
    <t>STEEL INDUSTRY (VWAP Indicator BackTesting)</t>
  </si>
  <si>
    <t>STEEL INDUSTRY (Bollinger Bands Indicator BackTesting)</t>
  </si>
  <si>
    <t>STEEL INDUSTRY (PIVOT Indicator BackTesting)</t>
  </si>
  <si>
    <t>STEEL INDUSTRY (Awesome Oscillator Indicator BackTesting)</t>
  </si>
  <si>
    <t>STEEL INDUSTRY (MACD Indicator BackTesting)</t>
  </si>
  <si>
    <t>STEEL INDUSTRY (CPR Indicator BackTesting)</t>
  </si>
  <si>
    <t>TOTAL OF SELL</t>
  </si>
  <si>
    <t>Number of Trades</t>
  </si>
  <si>
    <t>Wins</t>
  </si>
  <si>
    <t>Losses</t>
  </si>
  <si>
    <t>Total( Buy+Sell)</t>
  </si>
  <si>
    <t>Win</t>
  </si>
  <si>
    <t>Probability (%)</t>
  </si>
  <si>
    <t>STEEL INDUSTRY (RSI Indiactor Back Testing)</t>
  </si>
  <si>
    <t>STEEL INDUSTRY  Ranking</t>
  </si>
  <si>
    <t>Name of the Indicator</t>
  </si>
  <si>
    <t>Probability of Win</t>
  </si>
  <si>
    <t>Probability of Loss</t>
  </si>
  <si>
    <t>Ranking</t>
  </si>
  <si>
    <t>S. No.</t>
  </si>
  <si>
    <t>Super Trend</t>
  </si>
  <si>
    <t>RSI</t>
  </si>
  <si>
    <t>Fibonacci Moving Average</t>
  </si>
  <si>
    <t>VWAP</t>
  </si>
  <si>
    <t>MACD</t>
  </si>
  <si>
    <t>Stochastic RSI</t>
  </si>
  <si>
    <t>Pivot point Standard</t>
  </si>
  <si>
    <t>Awesome Oscillator</t>
  </si>
  <si>
    <t>Bollinger Bands</t>
  </si>
  <si>
    <t>CPR</t>
  </si>
  <si>
    <t>The Steel Industry stocks were backtested using 10 technical indicators from 1st April 2025 to 21st March 2026. Among all the indicators, Fibonacci Moving Average showed the highest probability of win at 44.697%, making it the most effective indicator for identifying profitable trading opportunities in the Steel Industry.
The Awesome Oscillator ranked second with a win probability of 44.372%, indicating its strong effectiveness in capturing market momentum and trend movements in the sector. Therefore,these two indicators are best for Steel Sector</t>
  </si>
  <si>
    <t>STEEL INDUSTRY (Moving Average Indicator BackTesting )</t>
  </si>
  <si>
    <t>NAME: Aditi Singla
College: FIIB, Delhi
Roll No. 25PGDMFM047
Sector:  Steel Industry
Batch : F1,Aditya Birla Capital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</si>
</sst>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1"/>
      <color theme="0"/>
      <name val="Calibri"/>
      <family val="2"/>
      <scheme val="minor"/>
    </font>
    <font>
      <b/>
      <sz val="11"/>
      <color theme="1"/>
      <name val="Calibri"/>
      <family val="2"/>
      <scheme val="minor"/>
    </font>
    <font>
      <b/>
      <sz val="14"/>
      <color theme="0"/>
      <name val="Calibri"/>
      <family val="2"/>
      <scheme val="minor"/>
    </font>
    <font>
      <b/>
      <sz val="12"/>
      <color theme="0"/>
      <name val="Calibri"/>
      <family val="2"/>
      <scheme val="minor"/>
    </font>
    <font>
      <sz val="11"/>
      <color theme="1"/>
      <name val="Calibri"/>
      <family val="2"/>
      <scheme val="minor"/>
    </font>
    <font>
      <b/>
      <sz val="18"/>
      <color theme="0"/>
      <name val="Calibri"/>
      <family val="2"/>
      <scheme val="minor"/>
    </font>
  </fonts>
  <fills count="9">
    <fill>
      <patternFill patternType="none"/>
    </fill>
    <fill>
      <patternFill patternType="gray125"/>
    </fill>
    <fill>
      <patternFill patternType="solid">
        <fgColor rgb="FF002060"/>
        <bgColor indexed="64"/>
      </patternFill>
    </fill>
    <fill>
      <patternFill patternType="solid">
        <fgColor theme="4" tint="-0.49998474074526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8"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5" fillId="0" borderId="0" applyFont="0" applyFill="0" applyBorder="0" applyAlignment="0" applyProtection="0"/>
  </cellStyleXfs>
  <cellXfs count="32">
    <xf numFmtId="0" fontId="0" fillId="0" borderId="0" xfId="0"/>
    <xf numFmtId="0" fontId="0" fillId="3" borderId="0" xfId="0" applyFill="1"/>
    <xf numFmtId="0" fontId="4" fillId="0" borderId="0" xfId="0" applyFont="1" applyAlignment="1">
      <alignment horizontal="center"/>
    </xf>
    <xf numFmtId="0" fontId="2" fillId="0" borderId="1" xfId="0" applyFont="1" applyBorder="1"/>
    <xf numFmtId="0" fontId="0" fillId="0" borderId="1" xfId="0" applyBorder="1"/>
    <xf numFmtId="10" fontId="0" fillId="0" borderId="0" xfId="1" applyNumberFormat="1" applyFont="1"/>
    <xf numFmtId="10" fontId="0" fillId="0" borderId="0" xfId="0" applyNumberFormat="1"/>
    <xf numFmtId="0" fontId="2" fillId="5" borderId="1" xfId="0" applyFont="1" applyFill="1" applyBorder="1"/>
    <xf numFmtId="0" fontId="2" fillId="6" borderId="0" xfId="0" applyFont="1" applyFill="1"/>
    <xf numFmtId="0" fontId="0" fillId="7" borderId="1" xfId="0" applyFill="1" applyBorder="1"/>
    <xf numFmtId="0" fontId="0" fillId="8" borderId="1" xfId="0" applyFill="1" applyBorder="1"/>
    <xf numFmtId="164" fontId="0" fillId="8" borderId="1" xfId="1" applyNumberFormat="1" applyFont="1" applyFill="1" applyBorder="1"/>
    <xf numFmtId="164" fontId="0" fillId="0" borderId="1" xfId="1" applyNumberFormat="1" applyFont="1" applyBorder="1"/>
    <xf numFmtId="0" fontId="3" fillId="0" borderId="0" xfId="0" applyFont="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0" xfId="0" applyFont="1" applyFill="1" applyAlignment="1">
      <alignment horizontal="center" vertical="center"/>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0" fontId="1" fillId="3" borderId="1" xfId="0" applyFont="1" applyFill="1" applyBorder="1" applyAlignment="1">
      <alignment horizontal="center"/>
    </xf>
    <xf numFmtId="0" fontId="2" fillId="5" borderId="1" xfId="0" applyFont="1" applyFill="1" applyBorder="1" applyAlignment="1">
      <alignment horizontal="center"/>
    </xf>
    <xf numFmtId="0" fontId="2" fillId="6" borderId="0" xfId="0" applyFont="1" applyFill="1" applyAlignment="1">
      <alignment horizontal="center"/>
    </xf>
    <xf numFmtId="0" fontId="1" fillId="4" borderId="1" xfId="0" applyFont="1" applyFill="1" applyBorder="1" applyAlignment="1">
      <alignment horizontal="center"/>
    </xf>
    <xf numFmtId="0" fontId="1" fillId="4" borderId="0" xfId="0" applyFont="1" applyFill="1" applyAlignment="1">
      <alignment horizontal="center"/>
    </xf>
    <xf numFmtId="0" fontId="3" fillId="2" borderId="0" xfId="0" applyFont="1" applyFill="1" applyAlignment="1">
      <alignment horizontal="center"/>
    </xf>
    <xf numFmtId="0" fontId="4" fillId="3" borderId="0" xfId="0" applyFont="1" applyFill="1" applyAlignment="1">
      <alignment horizontal="center"/>
    </xf>
    <xf numFmtId="0" fontId="0" fillId="0" borderId="0" xfId="0" applyAlignment="1">
      <alignment horizontal="left" vertical="top" wrapText="1"/>
    </xf>
    <xf numFmtId="0" fontId="0" fillId="0" borderId="0" xfId="0" applyAlignment="1">
      <alignment horizontal="lef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406A1-F75F-47C7-B235-F7DBD44C7E0A}">
  <dimension ref="C2:J14"/>
  <sheetViews>
    <sheetView tabSelected="1" workbookViewId="0">
      <selection activeCell="C3" sqref="C3:J14"/>
    </sheetView>
  </sheetViews>
  <sheetFormatPr defaultRowHeight="14.4" x14ac:dyDescent="0.3"/>
  <sheetData>
    <row r="2" spans="3:10" ht="15" thickBot="1" x14ac:dyDescent="0.35"/>
    <row r="3" spans="3:10" x14ac:dyDescent="0.3">
      <c r="C3" s="14" t="s">
        <v>57</v>
      </c>
      <c r="D3" s="15"/>
      <c r="E3" s="15"/>
      <c r="F3" s="15"/>
      <c r="G3" s="15"/>
      <c r="H3" s="15"/>
      <c r="I3" s="15"/>
      <c r="J3" s="16"/>
    </row>
    <row r="4" spans="3:10" x14ac:dyDescent="0.3">
      <c r="C4" s="17"/>
      <c r="D4" s="18"/>
      <c r="E4" s="18"/>
      <c r="F4" s="18"/>
      <c r="G4" s="18"/>
      <c r="H4" s="18"/>
      <c r="I4" s="18"/>
      <c r="J4" s="19"/>
    </row>
    <row r="5" spans="3:10" x14ac:dyDescent="0.3">
      <c r="C5" s="17"/>
      <c r="D5" s="18"/>
      <c r="E5" s="18"/>
      <c r="F5" s="18"/>
      <c r="G5" s="18"/>
      <c r="H5" s="18"/>
      <c r="I5" s="18"/>
      <c r="J5" s="19"/>
    </row>
    <row r="6" spans="3:10" x14ac:dyDescent="0.3">
      <c r="C6" s="17"/>
      <c r="D6" s="18"/>
      <c r="E6" s="18"/>
      <c r="F6" s="18"/>
      <c r="G6" s="18"/>
      <c r="H6" s="18"/>
      <c r="I6" s="18"/>
      <c r="J6" s="19"/>
    </row>
    <row r="7" spans="3:10" x14ac:dyDescent="0.3">
      <c r="C7" s="17"/>
      <c r="D7" s="18"/>
      <c r="E7" s="18"/>
      <c r="F7" s="18"/>
      <c r="G7" s="18"/>
      <c r="H7" s="18"/>
      <c r="I7" s="18"/>
      <c r="J7" s="19"/>
    </row>
    <row r="8" spans="3:10" x14ac:dyDescent="0.3">
      <c r="C8" s="17"/>
      <c r="D8" s="18"/>
      <c r="E8" s="18"/>
      <c r="F8" s="18"/>
      <c r="G8" s="18"/>
      <c r="H8" s="18"/>
      <c r="I8" s="18"/>
      <c r="J8" s="19"/>
    </row>
    <row r="9" spans="3:10" x14ac:dyDescent="0.3">
      <c r="C9" s="17"/>
      <c r="D9" s="18"/>
      <c r="E9" s="18"/>
      <c r="F9" s="18"/>
      <c r="G9" s="18"/>
      <c r="H9" s="18"/>
      <c r="I9" s="18"/>
      <c r="J9" s="19"/>
    </row>
    <row r="10" spans="3:10" x14ac:dyDescent="0.3">
      <c r="C10" s="17"/>
      <c r="D10" s="18"/>
      <c r="E10" s="18"/>
      <c r="F10" s="18"/>
      <c r="G10" s="18"/>
      <c r="H10" s="18"/>
      <c r="I10" s="18"/>
      <c r="J10" s="19"/>
    </row>
    <row r="11" spans="3:10" x14ac:dyDescent="0.3">
      <c r="C11" s="17"/>
      <c r="D11" s="18"/>
      <c r="E11" s="18"/>
      <c r="F11" s="18"/>
      <c r="G11" s="18"/>
      <c r="H11" s="18"/>
      <c r="I11" s="18"/>
      <c r="J11" s="19"/>
    </row>
    <row r="12" spans="3:10" x14ac:dyDescent="0.3">
      <c r="C12" s="17"/>
      <c r="D12" s="18"/>
      <c r="E12" s="18"/>
      <c r="F12" s="18"/>
      <c r="G12" s="18"/>
      <c r="H12" s="18"/>
      <c r="I12" s="18"/>
      <c r="J12" s="19"/>
    </row>
    <row r="13" spans="3:10" x14ac:dyDescent="0.3">
      <c r="C13" s="17"/>
      <c r="D13" s="18"/>
      <c r="E13" s="18"/>
      <c r="F13" s="18"/>
      <c r="G13" s="18"/>
      <c r="H13" s="18"/>
      <c r="I13" s="18"/>
      <c r="J13" s="19"/>
    </row>
    <row r="14" spans="3:10" ht="15" thickBot="1" x14ac:dyDescent="0.35">
      <c r="C14" s="20"/>
      <c r="D14" s="21"/>
      <c r="E14" s="21"/>
      <c r="F14" s="21"/>
      <c r="G14" s="21"/>
      <c r="H14" s="21"/>
      <c r="I14" s="21"/>
      <c r="J14" s="22"/>
    </row>
  </sheetData>
  <mergeCells count="1">
    <mergeCell ref="C3:J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A4ECE-078B-4895-9A5E-0049B638C202}">
  <dimension ref="A1:M68"/>
  <sheetViews>
    <sheetView workbookViewId="0">
      <selection sqref="A1:M1"/>
    </sheetView>
  </sheetViews>
  <sheetFormatPr defaultRowHeight="14.4" x14ac:dyDescent="0.3"/>
  <cols>
    <col min="1" max="1" width="11.77734375" bestFit="1" customWidth="1"/>
    <col min="2" max="2" width="12" bestFit="1" customWidth="1"/>
    <col min="3" max="3" width="20.44140625" bestFit="1" customWidth="1"/>
    <col min="4" max="4" width="14.44140625" bestFit="1" customWidth="1"/>
    <col min="5" max="5" width="15.5546875" bestFit="1" customWidth="1"/>
    <col min="6" max="6" width="5" bestFit="1" customWidth="1"/>
    <col min="7" max="7" width="2.77734375" customWidth="1"/>
    <col min="8" max="8" width="3.109375" customWidth="1"/>
    <col min="9" max="9" width="11.77734375" bestFit="1" customWidth="1"/>
    <col min="10" max="10" width="12" bestFit="1" customWidth="1"/>
    <col min="11" max="11" width="20.44140625" bestFit="1" customWidth="1"/>
    <col min="12" max="12" width="14.44140625" bestFit="1" customWidth="1"/>
    <col min="13" max="13" width="15.5546875" bestFit="1" customWidth="1"/>
  </cols>
  <sheetData>
    <row r="1" spans="1:13" ht="18" x14ac:dyDescent="0.35">
      <c r="A1" s="28" t="s">
        <v>24</v>
      </c>
      <c r="B1" s="28"/>
      <c r="C1" s="28"/>
      <c r="D1" s="28"/>
      <c r="E1" s="28"/>
      <c r="F1" s="28"/>
      <c r="G1" s="28"/>
      <c r="H1" s="28"/>
      <c r="I1" s="28"/>
      <c r="J1" s="28"/>
      <c r="K1" s="28"/>
      <c r="L1" s="28"/>
      <c r="M1" s="28"/>
    </row>
    <row r="3" spans="1:13" ht="15.6" x14ac:dyDescent="0.3">
      <c r="A3" s="29" t="s">
        <v>0</v>
      </c>
      <c r="B3" s="29"/>
      <c r="C3" s="29"/>
      <c r="D3" s="29"/>
      <c r="E3" s="29"/>
      <c r="G3" s="1"/>
      <c r="I3" s="29" t="s">
        <v>1</v>
      </c>
      <c r="J3" s="29"/>
      <c r="K3" s="29"/>
      <c r="L3" s="29"/>
      <c r="M3" s="29"/>
    </row>
    <row r="4" spans="1:13" ht="15.6" x14ac:dyDescent="0.3">
      <c r="A4" s="2"/>
      <c r="B4" s="2"/>
      <c r="C4" s="2"/>
      <c r="D4" s="2"/>
      <c r="E4" s="2"/>
      <c r="G4" s="1"/>
      <c r="I4" s="2"/>
      <c r="J4" s="2"/>
      <c r="K4" s="2"/>
      <c r="L4" s="2"/>
      <c r="M4" s="2"/>
    </row>
    <row r="5" spans="1:13" x14ac:dyDescent="0.3">
      <c r="A5" s="26" t="s">
        <v>2</v>
      </c>
      <c r="B5" s="26"/>
      <c r="C5" s="26"/>
      <c r="D5" s="26"/>
      <c r="E5" s="26"/>
      <c r="G5" s="1"/>
      <c r="I5" s="26" t="s">
        <v>2</v>
      </c>
      <c r="J5" s="26"/>
      <c r="K5" s="26"/>
      <c r="L5" s="26"/>
      <c r="M5" s="26"/>
    </row>
    <row r="6" spans="1:13" x14ac:dyDescent="0.3">
      <c r="A6" s="3" t="s">
        <v>3</v>
      </c>
      <c r="B6" s="3" t="s">
        <v>4</v>
      </c>
      <c r="C6" s="3" t="s">
        <v>5</v>
      </c>
      <c r="D6" s="3" t="s">
        <v>6</v>
      </c>
      <c r="E6" s="3" t="s">
        <v>7</v>
      </c>
      <c r="G6" s="1"/>
      <c r="I6" s="3" t="s">
        <v>3</v>
      </c>
      <c r="J6" s="3" t="s">
        <v>4</v>
      </c>
      <c r="K6" s="3" t="s">
        <v>5</v>
      </c>
      <c r="L6" s="3" t="s">
        <v>6</v>
      </c>
      <c r="M6" s="3" t="s">
        <v>7</v>
      </c>
    </row>
    <row r="7" spans="1:13" x14ac:dyDescent="0.3">
      <c r="A7" s="4" t="s">
        <v>8</v>
      </c>
      <c r="B7" s="4">
        <v>-1447.29</v>
      </c>
      <c r="C7" s="4">
        <v>56</v>
      </c>
      <c r="D7" s="4">
        <v>22</v>
      </c>
      <c r="E7" s="4">
        <v>34</v>
      </c>
      <c r="G7" s="1"/>
      <c r="I7" s="4" t="s">
        <v>8</v>
      </c>
      <c r="J7" s="4">
        <v>1493.09</v>
      </c>
      <c r="K7" s="4">
        <v>51</v>
      </c>
      <c r="L7" s="4">
        <v>29</v>
      </c>
      <c r="M7" s="4">
        <v>22</v>
      </c>
    </row>
    <row r="8" spans="1:13" x14ac:dyDescent="0.3">
      <c r="A8" s="4" t="s">
        <v>9</v>
      </c>
      <c r="B8" s="4">
        <v>1894.24</v>
      </c>
      <c r="C8" s="4">
        <v>50</v>
      </c>
      <c r="D8" s="4">
        <v>26</v>
      </c>
      <c r="E8" s="4">
        <v>24</v>
      </c>
      <c r="G8" s="1"/>
      <c r="I8" s="4" t="s">
        <v>9</v>
      </c>
      <c r="J8" s="4">
        <v>-841.06</v>
      </c>
      <c r="K8" s="4">
        <v>55</v>
      </c>
      <c r="L8" s="4">
        <v>24</v>
      </c>
      <c r="M8" s="4">
        <v>31</v>
      </c>
    </row>
    <row r="9" spans="1:13" x14ac:dyDescent="0.3">
      <c r="A9" s="4" t="s">
        <v>10</v>
      </c>
      <c r="B9" s="4">
        <v>1241.5</v>
      </c>
      <c r="C9" s="4">
        <v>57</v>
      </c>
      <c r="D9" s="4">
        <v>27</v>
      </c>
      <c r="E9" s="4">
        <v>30</v>
      </c>
      <c r="G9" s="1"/>
      <c r="I9" s="4" t="s">
        <v>10</v>
      </c>
      <c r="J9" s="4">
        <v>-1289.7</v>
      </c>
      <c r="K9" s="4">
        <v>54</v>
      </c>
      <c r="L9" s="4">
        <v>21</v>
      </c>
      <c r="M9" s="4">
        <v>33</v>
      </c>
    </row>
    <row r="10" spans="1:13" x14ac:dyDescent="0.3">
      <c r="A10" s="4" t="s">
        <v>11</v>
      </c>
      <c r="B10" s="4">
        <v>1690.89</v>
      </c>
      <c r="C10" s="4">
        <v>53</v>
      </c>
      <c r="D10" s="4">
        <v>27</v>
      </c>
      <c r="E10" s="4">
        <v>26</v>
      </c>
      <c r="G10" s="1"/>
      <c r="I10" s="4" t="s">
        <v>11</v>
      </c>
      <c r="J10" s="4">
        <v>758.15</v>
      </c>
      <c r="K10" s="4">
        <v>55</v>
      </c>
      <c r="L10" s="4">
        <v>28</v>
      </c>
      <c r="M10" s="4">
        <v>27</v>
      </c>
    </row>
    <row r="11" spans="1:13" x14ac:dyDescent="0.3">
      <c r="A11" s="4" t="s">
        <v>12</v>
      </c>
      <c r="B11" s="4">
        <v>-1083.24</v>
      </c>
      <c r="C11" s="4">
        <v>52</v>
      </c>
      <c r="D11" s="4">
        <v>21</v>
      </c>
      <c r="E11" s="4">
        <v>31</v>
      </c>
      <c r="G11" s="1"/>
      <c r="I11" s="4" t="s">
        <v>12</v>
      </c>
      <c r="J11" s="4">
        <v>909.99</v>
      </c>
      <c r="K11" s="4">
        <v>50</v>
      </c>
      <c r="L11" s="4">
        <v>22</v>
      </c>
      <c r="M11" s="4">
        <v>28</v>
      </c>
    </row>
    <row r="12" spans="1:13" x14ac:dyDescent="0.3">
      <c r="A12" s="4" t="s">
        <v>13</v>
      </c>
      <c r="B12" s="4">
        <v>585.17999999999995</v>
      </c>
      <c r="C12" s="4">
        <v>49</v>
      </c>
      <c r="D12" s="4">
        <v>20</v>
      </c>
      <c r="E12" s="4">
        <v>29</v>
      </c>
      <c r="G12" s="1"/>
      <c r="I12" s="4" t="s">
        <v>13</v>
      </c>
      <c r="J12" s="4">
        <v>312.11</v>
      </c>
      <c r="K12" s="4">
        <v>54</v>
      </c>
      <c r="L12" s="4">
        <v>24</v>
      </c>
      <c r="M12" s="4">
        <v>30</v>
      </c>
    </row>
    <row r="13" spans="1:13" x14ac:dyDescent="0.3">
      <c r="A13" s="4" t="s">
        <v>14</v>
      </c>
      <c r="B13" s="4">
        <v>373.55</v>
      </c>
      <c r="C13" s="4">
        <v>59</v>
      </c>
      <c r="D13" s="4">
        <v>24</v>
      </c>
      <c r="E13" s="4">
        <v>35</v>
      </c>
      <c r="G13" s="1"/>
      <c r="I13" s="4" t="s">
        <v>14</v>
      </c>
      <c r="J13" s="4">
        <v>2718.54</v>
      </c>
      <c r="K13" s="4">
        <v>56</v>
      </c>
      <c r="L13" s="4">
        <v>31</v>
      </c>
      <c r="M13" s="4">
        <v>25</v>
      </c>
    </row>
    <row r="14" spans="1:13" x14ac:dyDescent="0.3">
      <c r="A14" s="4" t="s">
        <v>15</v>
      </c>
      <c r="B14" s="4">
        <v>223.57</v>
      </c>
      <c r="C14" s="4">
        <v>55</v>
      </c>
      <c r="D14" s="4">
        <v>21</v>
      </c>
      <c r="E14" s="4">
        <v>34</v>
      </c>
      <c r="G14" s="1"/>
      <c r="I14" s="4" t="s">
        <v>15</v>
      </c>
      <c r="J14" s="4">
        <v>1721.5</v>
      </c>
      <c r="K14" s="4">
        <v>54</v>
      </c>
      <c r="L14" s="4">
        <v>27</v>
      </c>
      <c r="M14" s="4">
        <v>27</v>
      </c>
    </row>
    <row r="15" spans="1:13" x14ac:dyDescent="0.3">
      <c r="A15" s="4" t="s">
        <v>16</v>
      </c>
      <c r="B15" s="4">
        <v>-401.43</v>
      </c>
      <c r="C15" s="4">
        <v>58</v>
      </c>
      <c r="D15" s="4">
        <v>20</v>
      </c>
      <c r="E15" s="4">
        <v>38</v>
      </c>
      <c r="G15" s="1"/>
      <c r="I15" s="4" t="s">
        <v>16</v>
      </c>
      <c r="J15" s="4">
        <v>2224.12</v>
      </c>
      <c r="K15" s="4">
        <v>56</v>
      </c>
      <c r="L15" s="4">
        <v>29</v>
      </c>
      <c r="M15" s="4">
        <v>27</v>
      </c>
    </row>
    <row r="16" spans="1:13" x14ac:dyDescent="0.3">
      <c r="A16" s="4" t="s">
        <v>17</v>
      </c>
      <c r="B16" s="4">
        <v>987.71</v>
      </c>
      <c r="C16" s="4">
        <v>86</v>
      </c>
      <c r="D16" s="4">
        <v>35</v>
      </c>
      <c r="E16" s="4">
        <v>51</v>
      </c>
      <c r="G16" s="1"/>
      <c r="I16" s="4" t="s">
        <v>17</v>
      </c>
      <c r="J16" s="4">
        <v>-3199.31</v>
      </c>
      <c r="K16" s="4">
        <v>77</v>
      </c>
      <c r="L16" s="4">
        <v>24</v>
      </c>
      <c r="M16" s="4">
        <v>53</v>
      </c>
    </row>
    <row r="17" spans="1:13" x14ac:dyDescent="0.3">
      <c r="A17" s="24" t="s">
        <v>23</v>
      </c>
      <c r="B17" s="24"/>
      <c r="C17" s="7">
        <f>SUM(C7:C16)</f>
        <v>575</v>
      </c>
      <c r="D17" s="7">
        <f>SUM(D7:D16)</f>
        <v>243</v>
      </c>
      <c r="E17" s="7">
        <f>SUM(E7:E16)</f>
        <v>332</v>
      </c>
      <c r="G17" s="1"/>
      <c r="I17" s="24" t="s">
        <v>23</v>
      </c>
      <c r="J17" s="24"/>
      <c r="K17" s="7">
        <f>SUM(K7:K16)</f>
        <v>562</v>
      </c>
      <c r="L17" s="7">
        <f>SUM(L7:L16)</f>
        <v>259</v>
      </c>
      <c r="M17" s="7">
        <f>SUM(M7:M16)</f>
        <v>303</v>
      </c>
    </row>
    <row r="18" spans="1:13" x14ac:dyDescent="0.3">
      <c r="G18" s="1"/>
    </row>
    <row r="19" spans="1:13" x14ac:dyDescent="0.3">
      <c r="A19" s="26" t="s">
        <v>18</v>
      </c>
      <c r="B19" s="26"/>
      <c r="C19" s="26"/>
      <c r="D19" s="26"/>
      <c r="E19" s="26"/>
      <c r="G19" s="1"/>
      <c r="I19" s="26" t="s">
        <v>18</v>
      </c>
      <c r="J19" s="26"/>
      <c r="K19" s="26"/>
      <c r="L19" s="26"/>
      <c r="M19" s="26"/>
    </row>
    <row r="20" spans="1:13" x14ac:dyDescent="0.3">
      <c r="A20" s="3" t="s">
        <v>3</v>
      </c>
      <c r="B20" s="3" t="s">
        <v>4</v>
      </c>
      <c r="C20" s="3" t="s">
        <v>5</v>
      </c>
      <c r="D20" s="3" t="s">
        <v>6</v>
      </c>
      <c r="E20" s="3" t="s">
        <v>7</v>
      </c>
      <c r="G20" s="1"/>
      <c r="I20" s="3" t="s">
        <v>3</v>
      </c>
      <c r="J20" s="3" t="s">
        <v>4</v>
      </c>
      <c r="K20" s="3" t="s">
        <v>5</v>
      </c>
      <c r="L20" s="3" t="s">
        <v>6</v>
      </c>
      <c r="M20" s="3" t="s">
        <v>7</v>
      </c>
    </row>
    <row r="21" spans="1:13" x14ac:dyDescent="0.3">
      <c r="A21" s="4" t="s">
        <v>8</v>
      </c>
      <c r="B21" s="4">
        <v>-306.95</v>
      </c>
      <c r="C21" s="4">
        <v>57</v>
      </c>
      <c r="D21" s="4">
        <v>30</v>
      </c>
      <c r="E21" s="4">
        <v>27</v>
      </c>
      <c r="G21" s="1"/>
      <c r="I21" s="4" t="s">
        <v>8</v>
      </c>
      <c r="J21" s="4">
        <v>-377.94</v>
      </c>
      <c r="K21" s="4">
        <v>56</v>
      </c>
      <c r="L21" s="4">
        <v>24</v>
      </c>
      <c r="M21" s="4">
        <v>32</v>
      </c>
    </row>
    <row r="22" spans="1:13" x14ac:dyDescent="0.3">
      <c r="A22" s="4" t="s">
        <v>9</v>
      </c>
      <c r="B22" s="4">
        <v>-559.70000000000005</v>
      </c>
      <c r="C22" s="4">
        <v>59</v>
      </c>
      <c r="D22" s="4">
        <v>25</v>
      </c>
      <c r="E22" s="4">
        <v>34</v>
      </c>
      <c r="G22" s="1"/>
      <c r="I22" s="4" t="s">
        <v>9</v>
      </c>
      <c r="J22" s="4">
        <v>-1909.74</v>
      </c>
      <c r="K22" s="4">
        <v>54</v>
      </c>
      <c r="L22" s="4">
        <v>24</v>
      </c>
      <c r="M22" s="4">
        <v>30</v>
      </c>
    </row>
    <row r="23" spans="1:13" x14ac:dyDescent="0.3">
      <c r="A23" s="4" t="s">
        <v>10</v>
      </c>
      <c r="B23" s="4">
        <v>-845.19</v>
      </c>
      <c r="C23" s="4">
        <v>64</v>
      </c>
      <c r="D23" s="4">
        <v>27</v>
      </c>
      <c r="E23" s="4">
        <v>37</v>
      </c>
      <c r="G23" s="1"/>
      <c r="I23" s="4" t="s">
        <v>10</v>
      </c>
      <c r="J23" s="4">
        <v>-118.75</v>
      </c>
      <c r="K23" s="4">
        <v>60</v>
      </c>
      <c r="L23" s="4">
        <v>28</v>
      </c>
      <c r="M23" s="4">
        <v>32</v>
      </c>
    </row>
    <row r="24" spans="1:13" x14ac:dyDescent="0.3">
      <c r="A24" s="4" t="s">
        <v>11</v>
      </c>
      <c r="B24" s="4">
        <v>-1083</v>
      </c>
      <c r="C24" s="4">
        <v>60</v>
      </c>
      <c r="D24" s="4">
        <v>23</v>
      </c>
      <c r="E24" s="4">
        <v>37</v>
      </c>
      <c r="G24" s="1"/>
      <c r="I24" s="4" t="s">
        <v>11</v>
      </c>
      <c r="J24" s="4">
        <v>-1113.79</v>
      </c>
      <c r="K24" s="4">
        <v>59</v>
      </c>
      <c r="L24" s="4">
        <v>28</v>
      </c>
      <c r="M24" s="4">
        <v>31</v>
      </c>
    </row>
    <row r="25" spans="1:13" x14ac:dyDescent="0.3">
      <c r="A25" s="4" t="s">
        <v>12</v>
      </c>
      <c r="B25" s="4">
        <v>2911.6</v>
      </c>
      <c r="C25" s="4">
        <v>58</v>
      </c>
      <c r="D25" s="4">
        <v>30</v>
      </c>
      <c r="E25" s="4">
        <v>28</v>
      </c>
      <c r="G25" s="1"/>
      <c r="I25" s="4" t="s">
        <v>12</v>
      </c>
      <c r="J25" s="4">
        <v>-2363.9499999999998</v>
      </c>
      <c r="K25" s="4">
        <v>60</v>
      </c>
      <c r="L25" s="4">
        <v>19</v>
      </c>
      <c r="M25" s="4">
        <v>41</v>
      </c>
    </row>
    <row r="26" spans="1:13" x14ac:dyDescent="0.3">
      <c r="A26" s="4" t="s">
        <v>13</v>
      </c>
      <c r="B26" s="4">
        <v>-1201.93</v>
      </c>
      <c r="C26" s="4">
        <v>58</v>
      </c>
      <c r="D26" s="4">
        <v>23</v>
      </c>
      <c r="E26" s="4">
        <v>35</v>
      </c>
      <c r="G26" s="1"/>
      <c r="I26" s="4" t="s">
        <v>13</v>
      </c>
      <c r="J26" s="4">
        <v>1684.44</v>
      </c>
      <c r="K26" s="4">
        <v>57</v>
      </c>
      <c r="L26" s="4">
        <v>29</v>
      </c>
      <c r="M26" s="4">
        <v>28</v>
      </c>
    </row>
    <row r="27" spans="1:13" x14ac:dyDescent="0.3">
      <c r="A27" s="4" t="s">
        <v>14</v>
      </c>
      <c r="B27" s="4">
        <v>-4391.49</v>
      </c>
      <c r="C27" s="4">
        <v>61</v>
      </c>
      <c r="D27" s="4">
        <v>12</v>
      </c>
      <c r="E27" s="4">
        <v>49</v>
      </c>
      <c r="G27" s="1"/>
      <c r="I27" s="4" t="s">
        <v>14</v>
      </c>
      <c r="J27" s="4">
        <v>-1736.95</v>
      </c>
      <c r="K27" s="4">
        <v>57</v>
      </c>
      <c r="L27" s="4">
        <v>22</v>
      </c>
      <c r="M27" s="4">
        <v>35</v>
      </c>
    </row>
    <row r="28" spans="1:13" x14ac:dyDescent="0.3">
      <c r="A28" s="4" t="s">
        <v>15</v>
      </c>
      <c r="B28" s="4">
        <v>-4277.41</v>
      </c>
      <c r="C28" s="4">
        <v>75</v>
      </c>
      <c r="D28" s="4">
        <v>19</v>
      </c>
      <c r="E28" s="4">
        <v>56</v>
      </c>
      <c r="G28" s="1"/>
      <c r="I28" s="4" t="s">
        <v>15</v>
      </c>
      <c r="J28" s="4">
        <v>1923.98</v>
      </c>
      <c r="K28" s="4">
        <v>62</v>
      </c>
      <c r="L28" s="4">
        <v>30</v>
      </c>
      <c r="M28" s="4">
        <v>32</v>
      </c>
    </row>
    <row r="29" spans="1:13" x14ac:dyDescent="0.3">
      <c r="A29" s="4" t="s">
        <v>16</v>
      </c>
      <c r="B29" s="4">
        <v>-1650.3</v>
      </c>
      <c r="C29" s="4">
        <v>59</v>
      </c>
      <c r="D29" s="4">
        <v>18</v>
      </c>
      <c r="E29" s="4">
        <v>41</v>
      </c>
      <c r="G29" s="1"/>
      <c r="I29" s="4" t="s">
        <v>16</v>
      </c>
      <c r="J29" s="4">
        <v>2317.42</v>
      </c>
      <c r="K29" s="4">
        <v>62</v>
      </c>
      <c r="L29" s="4">
        <v>35</v>
      </c>
      <c r="M29" s="4">
        <v>27</v>
      </c>
    </row>
    <row r="30" spans="1:13" x14ac:dyDescent="0.3">
      <c r="A30" s="4" t="s">
        <v>17</v>
      </c>
      <c r="B30" s="4">
        <v>-821.43</v>
      </c>
      <c r="C30" s="4">
        <v>67</v>
      </c>
      <c r="D30" s="4">
        <v>24</v>
      </c>
      <c r="E30" s="4">
        <v>43</v>
      </c>
      <c r="G30" s="1"/>
      <c r="I30" s="4" t="s">
        <v>17</v>
      </c>
      <c r="J30" s="4">
        <v>179.53</v>
      </c>
      <c r="K30" s="4">
        <v>68</v>
      </c>
      <c r="L30" s="4">
        <v>28</v>
      </c>
      <c r="M30" s="4">
        <v>40</v>
      </c>
    </row>
    <row r="31" spans="1:13" x14ac:dyDescent="0.3">
      <c r="A31" s="24" t="s">
        <v>23</v>
      </c>
      <c r="B31" s="24"/>
      <c r="C31" s="7">
        <f>SUM(C21:C30)</f>
        <v>618</v>
      </c>
      <c r="D31" s="7">
        <f>SUM(D21:D30)</f>
        <v>231</v>
      </c>
      <c r="E31" s="7">
        <f>SUM(E21:E30)</f>
        <v>387</v>
      </c>
      <c r="G31" s="1"/>
      <c r="I31" s="24" t="s">
        <v>23</v>
      </c>
      <c r="J31" s="24"/>
      <c r="K31" s="7">
        <f>SUM(K21:K30)</f>
        <v>595</v>
      </c>
      <c r="L31" s="7">
        <f>SUM(L21:L30)</f>
        <v>267</v>
      </c>
      <c r="M31" s="7">
        <f>SUM(M21:M30)</f>
        <v>328</v>
      </c>
    </row>
    <row r="32" spans="1:13" x14ac:dyDescent="0.3">
      <c r="G32" s="1"/>
    </row>
    <row r="33" spans="1:13" x14ac:dyDescent="0.3">
      <c r="A33" s="26" t="s">
        <v>19</v>
      </c>
      <c r="B33" s="26"/>
      <c r="C33" s="26"/>
      <c r="D33" s="26"/>
      <c r="E33" s="26"/>
      <c r="G33" s="1"/>
      <c r="I33" s="27" t="s">
        <v>19</v>
      </c>
      <c r="J33" s="27"/>
      <c r="K33" s="27"/>
      <c r="L33" s="27"/>
      <c r="M33" s="27"/>
    </row>
    <row r="34" spans="1:13" x14ac:dyDescent="0.3">
      <c r="A34" s="3" t="s">
        <v>3</v>
      </c>
      <c r="B34" s="3" t="s">
        <v>4</v>
      </c>
      <c r="C34" s="3" t="s">
        <v>5</v>
      </c>
      <c r="D34" s="3" t="s">
        <v>6</v>
      </c>
      <c r="E34" s="3" t="s">
        <v>7</v>
      </c>
      <c r="G34" s="1"/>
      <c r="I34" s="3" t="s">
        <v>3</v>
      </c>
      <c r="J34" s="3" t="s">
        <v>4</v>
      </c>
      <c r="K34" s="3" t="s">
        <v>5</v>
      </c>
      <c r="L34" s="3" t="s">
        <v>6</v>
      </c>
      <c r="M34" s="3" t="s">
        <v>7</v>
      </c>
    </row>
    <row r="35" spans="1:13" x14ac:dyDescent="0.3">
      <c r="A35" s="4" t="s">
        <v>8</v>
      </c>
      <c r="B35" s="4">
        <v>-126.59</v>
      </c>
      <c r="C35" s="4">
        <v>47</v>
      </c>
      <c r="D35" s="4">
        <v>25</v>
      </c>
      <c r="E35" s="4">
        <v>22</v>
      </c>
      <c r="G35" s="1"/>
      <c r="I35" s="4" t="s">
        <v>8</v>
      </c>
      <c r="J35" s="4">
        <v>-19.55</v>
      </c>
      <c r="K35" s="4">
        <v>50</v>
      </c>
      <c r="L35" s="4">
        <v>22</v>
      </c>
      <c r="M35" s="4">
        <v>28</v>
      </c>
    </row>
    <row r="36" spans="1:13" x14ac:dyDescent="0.3">
      <c r="A36" s="4" t="s">
        <v>9</v>
      </c>
      <c r="B36" s="4">
        <v>385.3</v>
      </c>
      <c r="C36" s="4">
        <v>46</v>
      </c>
      <c r="D36" s="4">
        <v>18</v>
      </c>
      <c r="E36" s="4">
        <v>28</v>
      </c>
      <c r="G36" s="1"/>
      <c r="I36" s="4" t="s">
        <v>9</v>
      </c>
      <c r="J36" s="4">
        <v>738.44</v>
      </c>
      <c r="K36" s="4">
        <v>44</v>
      </c>
      <c r="L36" s="4">
        <v>19</v>
      </c>
      <c r="M36" s="4">
        <v>25</v>
      </c>
    </row>
    <row r="37" spans="1:13" x14ac:dyDescent="0.3">
      <c r="A37" s="4" t="s">
        <v>10</v>
      </c>
      <c r="B37" s="4">
        <v>1820.4</v>
      </c>
      <c r="C37" s="4">
        <v>55</v>
      </c>
      <c r="D37" s="4">
        <v>29</v>
      </c>
      <c r="E37" s="4">
        <v>26</v>
      </c>
      <c r="G37" s="1"/>
      <c r="I37" s="4" t="s">
        <v>10</v>
      </c>
      <c r="J37" s="4">
        <v>187.09</v>
      </c>
      <c r="K37" s="4">
        <v>45</v>
      </c>
      <c r="L37" s="4">
        <v>21</v>
      </c>
      <c r="M37" s="4">
        <v>24</v>
      </c>
    </row>
    <row r="38" spans="1:13" x14ac:dyDescent="0.3">
      <c r="A38" s="4" t="s">
        <v>11</v>
      </c>
      <c r="B38" s="4">
        <v>-1398.55</v>
      </c>
      <c r="C38" s="4">
        <v>56</v>
      </c>
      <c r="D38" s="4">
        <v>26</v>
      </c>
      <c r="E38" s="4">
        <v>30</v>
      </c>
      <c r="G38" s="1"/>
      <c r="I38" s="4" t="s">
        <v>11</v>
      </c>
      <c r="J38" s="4">
        <v>1305.1300000000001</v>
      </c>
      <c r="K38" s="4">
        <v>52</v>
      </c>
      <c r="L38" s="4">
        <v>27</v>
      </c>
      <c r="M38" s="4">
        <v>25</v>
      </c>
    </row>
    <row r="39" spans="1:13" x14ac:dyDescent="0.3">
      <c r="A39" s="4" t="s">
        <v>12</v>
      </c>
      <c r="B39" s="4">
        <v>-156.04</v>
      </c>
      <c r="C39" s="4">
        <v>55</v>
      </c>
      <c r="D39" s="4">
        <v>27</v>
      </c>
      <c r="E39" s="4">
        <v>28</v>
      </c>
      <c r="G39" s="1"/>
      <c r="I39" s="4" t="s">
        <v>12</v>
      </c>
      <c r="J39" s="4">
        <v>-182.05</v>
      </c>
      <c r="K39" s="4">
        <v>57</v>
      </c>
      <c r="L39" s="4">
        <v>25</v>
      </c>
      <c r="M39" s="4">
        <v>32</v>
      </c>
    </row>
    <row r="40" spans="1:13" x14ac:dyDescent="0.3">
      <c r="A40" s="4" t="s">
        <v>13</v>
      </c>
      <c r="B40" s="4">
        <v>883.62</v>
      </c>
      <c r="C40" s="4">
        <v>55</v>
      </c>
      <c r="D40" s="4">
        <v>22</v>
      </c>
      <c r="E40" s="4">
        <v>33</v>
      </c>
      <c r="G40" s="1"/>
      <c r="I40" s="4" t="s">
        <v>13</v>
      </c>
      <c r="J40" s="4">
        <v>1418.55</v>
      </c>
      <c r="K40" s="4">
        <v>49</v>
      </c>
      <c r="L40" s="4">
        <v>29</v>
      </c>
      <c r="M40" s="4">
        <v>20</v>
      </c>
    </row>
    <row r="41" spans="1:13" x14ac:dyDescent="0.3">
      <c r="A41" s="4" t="s">
        <v>14</v>
      </c>
      <c r="B41" s="4">
        <v>-550.29</v>
      </c>
      <c r="C41" s="4">
        <v>58</v>
      </c>
      <c r="D41" s="4">
        <v>23</v>
      </c>
      <c r="E41" s="4">
        <v>35</v>
      </c>
      <c r="G41" s="1"/>
      <c r="I41" s="4" t="s">
        <v>14</v>
      </c>
      <c r="J41" s="4">
        <v>3544.84</v>
      </c>
      <c r="K41" s="4">
        <v>53</v>
      </c>
      <c r="L41" s="4">
        <v>27</v>
      </c>
      <c r="M41" s="4">
        <v>26</v>
      </c>
    </row>
    <row r="42" spans="1:13" x14ac:dyDescent="0.3">
      <c r="A42" s="4" t="s">
        <v>15</v>
      </c>
      <c r="B42" s="4">
        <v>-1643.38</v>
      </c>
      <c r="C42" s="4">
        <v>56</v>
      </c>
      <c r="D42" s="4">
        <v>18</v>
      </c>
      <c r="E42" s="4">
        <v>38</v>
      </c>
      <c r="G42" s="1"/>
      <c r="I42" s="4" t="s">
        <v>15</v>
      </c>
      <c r="J42" s="4">
        <v>3159.36</v>
      </c>
      <c r="K42" s="4">
        <v>54</v>
      </c>
      <c r="L42" s="4">
        <v>32</v>
      </c>
      <c r="M42" s="4">
        <v>22</v>
      </c>
    </row>
    <row r="43" spans="1:13" x14ac:dyDescent="0.3">
      <c r="A43" s="4" t="s">
        <v>16</v>
      </c>
      <c r="B43" s="4">
        <v>-1483.69</v>
      </c>
      <c r="C43" s="4">
        <v>59</v>
      </c>
      <c r="D43" s="4">
        <v>22</v>
      </c>
      <c r="E43" s="4">
        <v>37</v>
      </c>
      <c r="G43" s="1"/>
      <c r="I43" s="4" t="s">
        <v>16</v>
      </c>
      <c r="J43" s="4">
        <v>2995.38</v>
      </c>
      <c r="K43" s="4">
        <v>54</v>
      </c>
      <c r="L43" s="4">
        <v>34</v>
      </c>
      <c r="M43" s="4">
        <v>20</v>
      </c>
    </row>
    <row r="44" spans="1:13" x14ac:dyDescent="0.3">
      <c r="A44" s="4" t="s">
        <v>17</v>
      </c>
      <c r="B44" s="4">
        <v>-3194.11</v>
      </c>
      <c r="C44" s="4">
        <v>77</v>
      </c>
      <c r="D44" s="4">
        <v>26</v>
      </c>
      <c r="E44" s="4">
        <v>51</v>
      </c>
      <c r="G44" s="1"/>
      <c r="I44" s="4" t="s">
        <v>17</v>
      </c>
      <c r="J44" s="4">
        <v>-2606.27</v>
      </c>
      <c r="K44" s="4">
        <v>73</v>
      </c>
      <c r="L44" s="4">
        <v>26</v>
      </c>
      <c r="M44" s="4">
        <v>47</v>
      </c>
    </row>
    <row r="45" spans="1:13" x14ac:dyDescent="0.3">
      <c r="A45" s="24" t="s">
        <v>23</v>
      </c>
      <c r="B45" s="24"/>
      <c r="C45" s="7">
        <f>SUM(C35:C44)</f>
        <v>564</v>
      </c>
      <c r="D45" s="7">
        <f>SUM(D35:D44)</f>
        <v>236</v>
      </c>
      <c r="E45" s="7">
        <f>SUM(E35:E44)</f>
        <v>328</v>
      </c>
      <c r="G45" s="1"/>
      <c r="I45" s="24" t="s">
        <v>23</v>
      </c>
      <c r="J45" s="24"/>
      <c r="K45" s="7">
        <f>SUM(K35:K44)</f>
        <v>531</v>
      </c>
      <c r="L45" s="7">
        <f>SUM(L35:L44)</f>
        <v>262</v>
      </c>
      <c r="M45" s="7">
        <f>SUM(M35:M44)</f>
        <v>269</v>
      </c>
    </row>
    <row r="46" spans="1:13" x14ac:dyDescent="0.3">
      <c r="G46" s="1"/>
    </row>
    <row r="47" spans="1:13" x14ac:dyDescent="0.3">
      <c r="A47" s="26" t="s">
        <v>20</v>
      </c>
      <c r="B47" s="26"/>
      <c r="C47" s="26"/>
      <c r="D47" s="26"/>
      <c r="E47" s="26"/>
      <c r="G47" s="1"/>
      <c r="I47" s="26" t="s">
        <v>20</v>
      </c>
      <c r="J47" s="26"/>
      <c r="K47" s="26"/>
      <c r="L47" s="26"/>
      <c r="M47" s="26"/>
    </row>
    <row r="48" spans="1:13" x14ac:dyDescent="0.3">
      <c r="A48" s="3" t="s">
        <v>3</v>
      </c>
      <c r="B48" s="3" t="s">
        <v>4</v>
      </c>
      <c r="C48" s="3" t="s">
        <v>5</v>
      </c>
      <c r="D48" s="3" t="s">
        <v>6</v>
      </c>
      <c r="E48" s="3" t="s">
        <v>7</v>
      </c>
      <c r="G48" s="1"/>
      <c r="I48" s="3" t="s">
        <v>3</v>
      </c>
      <c r="J48" s="3" t="s">
        <v>4</v>
      </c>
      <c r="K48" s="3" t="s">
        <v>5</v>
      </c>
      <c r="L48" s="3" t="s">
        <v>6</v>
      </c>
      <c r="M48" s="3" t="s">
        <v>7</v>
      </c>
    </row>
    <row r="49" spans="1:13" x14ac:dyDescent="0.3">
      <c r="A49" s="4" t="s">
        <v>8</v>
      </c>
      <c r="B49" s="4">
        <v>707.4</v>
      </c>
      <c r="C49" s="4">
        <v>58</v>
      </c>
      <c r="D49" s="4">
        <v>29</v>
      </c>
      <c r="E49" s="4">
        <v>29</v>
      </c>
      <c r="G49" s="1"/>
      <c r="I49" s="4" t="s">
        <v>8</v>
      </c>
      <c r="J49" s="4">
        <v>-135.44999999999999</v>
      </c>
      <c r="K49" s="4">
        <v>56</v>
      </c>
      <c r="L49" s="4">
        <v>23</v>
      </c>
      <c r="M49" s="4">
        <v>33</v>
      </c>
    </row>
    <row r="50" spans="1:13" x14ac:dyDescent="0.3">
      <c r="A50" s="4" t="s">
        <v>9</v>
      </c>
      <c r="B50" s="4">
        <v>602.57000000000005</v>
      </c>
      <c r="C50" s="4">
        <v>55</v>
      </c>
      <c r="D50" s="4">
        <v>24</v>
      </c>
      <c r="E50" s="4">
        <v>31</v>
      </c>
      <c r="G50" s="1"/>
      <c r="I50" s="4" t="s">
        <v>9</v>
      </c>
      <c r="J50" s="4">
        <v>127.12</v>
      </c>
      <c r="K50" s="4">
        <v>53</v>
      </c>
      <c r="L50" s="4">
        <v>23</v>
      </c>
      <c r="M50" s="4">
        <v>30</v>
      </c>
    </row>
    <row r="51" spans="1:13" x14ac:dyDescent="0.3">
      <c r="A51" s="4" t="s">
        <v>10</v>
      </c>
      <c r="B51" s="4">
        <v>-2872.14</v>
      </c>
      <c r="C51" s="4">
        <v>59</v>
      </c>
      <c r="D51" s="4">
        <v>18</v>
      </c>
      <c r="E51" s="4">
        <v>41</v>
      </c>
      <c r="G51" s="1"/>
      <c r="I51" s="4" t="s">
        <v>10</v>
      </c>
      <c r="J51" s="4">
        <v>-988.8</v>
      </c>
      <c r="K51" s="4">
        <v>63</v>
      </c>
      <c r="L51" s="4">
        <v>26</v>
      </c>
      <c r="M51" s="4">
        <v>37</v>
      </c>
    </row>
    <row r="52" spans="1:13" x14ac:dyDescent="0.3">
      <c r="A52" s="4" t="s">
        <v>11</v>
      </c>
      <c r="B52" s="4">
        <v>2051.5</v>
      </c>
      <c r="C52" s="4">
        <v>68</v>
      </c>
      <c r="D52" s="4">
        <v>32</v>
      </c>
      <c r="E52" s="4">
        <v>36</v>
      </c>
      <c r="G52" s="1"/>
      <c r="I52" s="4" t="s">
        <v>11</v>
      </c>
      <c r="J52" s="4">
        <v>-1249.57</v>
      </c>
      <c r="K52" s="4">
        <v>63</v>
      </c>
      <c r="L52" s="4">
        <v>26</v>
      </c>
      <c r="M52" s="4">
        <v>37</v>
      </c>
    </row>
    <row r="53" spans="1:13" x14ac:dyDescent="0.3">
      <c r="A53" s="4" t="s">
        <v>12</v>
      </c>
      <c r="B53" s="4">
        <v>2816.76</v>
      </c>
      <c r="C53" s="4">
        <v>49</v>
      </c>
      <c r="D53" s="4">
        <v>24</v>
      </c>
      <c r="E53" s="4">
        <v>25</v>
      </c>
      <c r="G53" s="1"/>
      <c r="I53" s="4" t="s">
        <v>12</v>
      </c>
      <c r="J53" s="4">
        <v>2245.9899999999998</v>
      </c>
      <c r="K53" s="4">
        <v>47</v>
      </c>
      <c r="L53" s="4">
        <v>23</v>
      </c>
      <c r="M53" s="4">
        <v>24</v>
      </c>
    </row>
    <row r="54" spans="1:13" x14ac:dyDescent="0.3">
      <c r="A54" s="4" t="s">
        <v>13</v>
      </c>
      <c r="B54" s="4">
        <v>-292.14999999999998</v>
      </c>
      <c r="C54" s="4">
        <v>50</v>
      </c>
      <c r="D54" s="4">
        <v>22</v>
      </c>
      <c r="E54" s="4">
        <v>28</v>
      </c>
      <c r="G54" s="1"/>
      <c r="I54" s="4" t="s">
        <v>13</v>
      </c>
      <c r="J54" s="4">
        <v>639.75</v>
      </c>
      <c r="K54" s="4">
        <v>47</v>
      </c>
      <c r="L54" s="4">
        <v>24</v>
      </c>
      <c r="M54" s="4">
        <v>23</v>
      </c>
    </row>
    <row r="55" spans="1:13" x14ac:dyDescent="0.3">
      <c r="A55" s="4" t="s">
        <v>14</v>
      </c>
      <c r="B55" s="4">
        <v>1384.8</v>
      </c>
      <c r="C55" s="4">
        <v>51</v>
      </c>
      <c r="D55" s="4">
        <v>25</v>
      </c>
      <c r="E55" s="4">
        <v>26</v>
      </c>
      <c r="G55" s="1"/>
      <c r="I55" s="4" t="s">
        <v>14</v>
      </c>
      <c r="J55" s="4">
        <v>1113.3900000000001</v>
      </c>
      <c r="K55" s="4">
        <v>50</v>
      </c>
      <c r="L55" s="4">
        <v>23</v>
      </c>
      <c r="M55" s="4">
        <v>27</v>
      </c>
    </row>
    <row r="56" spans="1:13" x14ac:dyDescent="0.3">
      <c r="A56" s="4" t="s">
        <v>15</v>
      </c>
      <c r="B56" s="4">
        <v>-1908.83</v>
      </c>
      <c r="C56" s="4">
        <v>58</v>
      </c>
      <c r="D56" s="4">
        <v>18</v>
      </c>
      <c r="E56" s="4">
        <v>40</v>
      </c>
      <c r="G56" s="1"/>
      <c r="I56" s="4" t="s">
        <v>15</v>
      </c>
      <c r="J56" s="4">
        <v>485.83</v>
      </c>
      <c r="K56" s="4">
        <v>51</v>
      </c>
      <c r="L56" s="4">
        <v>23</v>
      </c>
      <c r="M56" s="4">
        <v>28</v>
      </c>
    </row>
    <row r="57" spans="1:13" x14ac:dyDescent="0.3">
      <c r="A57" s="4" t="s">
        <v>16</v>
      </c>
      <c r="B57" s="4">
        <v>-857.16</v>
      </c>
      <c r="C57" s="4">
        <v>66</v>
      </c>
      <c r="D57" s="4">
        <v>24</v>
      </c>
      <c r="E57" s="4">
        <v>42</v>
      </c>
      <c r="G57" s="1"/>
      <c r="I57" s="4" t="s">
        <v>16</v>
      </c>
      <c r="J57" s="4">
        <v>1683.14</v>
      </c>
      <c r="K57" s="4">
        <v>64</v>
      </c>
      <c r="L57" s="4">
        <v>27</v>
      </c>
      <c r="M57" s="4">
        <v>37</v>
      </c>
    </row>
    <row r="58" spans="1:13" x14ac:dyDescent="0.3">
      <c r="A58" s="4" t="s">
        <v>17</v>
      </c>
      <c r="B58" s="4">
        <v>-1070.22</v>
      </c>
      <c r="C58" s="4">
        <v>72</v>
      </c>
      <c r="D58" s="4">
        <v>26</v>
      </c>
      <c r="E58" s="4">
        <v>46</v>
      </c>
      <c r="G58" s="1"/>
      <c r="I58" s="4" t="s">
        <v>17</v>
      </c>
      <c r="J58" s="4">
        <v>-847.6</v>
      </c>
      <c r="K58" s="4">
        <v>65</v>
      </c>
      <c r="L58" s="4">
        <v>23</v>
      </c>
      <c r="M58" s="4">
        <v>42</v>
      </c>
    </row>
    <row r="59" spans="1:13" x14ac:dyDescent="0.3">
      <c r="A59" s="24" t="s">
        <v>23</v>
      </c>
      <c r="B59" s="24"/>
      <c r="C59" s="7">
        <f>SUM(C49:C58)</f>
        <v>586</v>
      </c>
      <c r="D59" s="7">
        <f>SUM(D49:D58)</f>
        <v>242</v>
      </c>
      <c r="E59" s="7">
        <f>SUM(E49:E58)</f>
        <v>344</v>
      </c>
      <c r="I59" s="24" t="s">
        <v>23</v>
      </c>
      <c r="J59" s="24"/>
      <c r="K59" s="7">
        <f>SUM(K49:K58)</f>
        <v>559</v>
      </c>
      <c r="L59" s="7">
        <f>SUM(L49:L58)</f>
        <v>241</v>
      </c>
      <c r="M59" s="7">
        <f>SUM(M49:M58)</f>
        <v>318</v>
      </c>
    </row>
    <row r="61" spans="1:13" x14ac:dyDescent="0.3">
      <c r="A61" s="25" t="s">
        <v>22</v>
      </c>
      <c r="B61" s="25"/>
      <c r="C61" s="8">
        <f>C59+C45+C31+C17</f>
        <v>2343</v>
      </c>
      <c r="D61" s="8">
        <f t="shared" ref="D61:E61" si="0">D59+D45+D31+D17</f>
        <v>952</v>
      </c>
      <c r="E61" s="8">
        <f t="shared" si="0"/>
        <v>1391</v>
      </c>
      <c r="I61" s="25" t="s">
        <v>31</v>
      </c>
      <c r="J61" s="25"/>
      <c r="K61" s="8">
        <f>K59+K45+K31+K17</f>
        <v>2247</v>
      </c>
      <c r="L61" s="8">
        <f t="shared" ref="L61:M61" si="1">L59+L45+L31+L17</f>
        <v>1029</v>
      </c>
      <c r="M61" s="8">
        <f t="shared" si="1"/>
        <v>1218</v>
      </c>
    </row>
    <row r="65" spans="3:10" x14ac:dyDescent="0.3">
      <c r="E65" s="23" t="s">
        <v>35</v>
      </c>
      <c r="F65" s="23"/>
      <c r="I65" s="23" t="s">
        <v>37</v>
      </c>
      <c r="J65" s="23"/>
    </row>
    <row r="66" spans="3:10" x14ac:dyDescent="0.3">
      <c r="C66" s="5"/>
      <c r="E66" s="10" t="s">
        <v>32</v>
      </c>
      <c r="F66" s="10">
        <f>C61+K61</f>
        <v>4590</v>
      </c>
      <c r="I66" s="10" t="s">
        <v>36</v>
      </c>
      <c r="J66" s="11">
        <f>F67/F66</f>
        <v>0.43159041394335512</v>
      </c>
    </row>
    <row r="67" spans="3:10" x14ac:dyDescent="0.3">
      <c r="C67" s="5"/>
      <c r="E67" s="10" t="s">
        <v>33</v>
      </c>
      <c r="F67" s="10">
        <f>D61+L61</f>
        <v>1981</v>
      </c>
      <c r="I67" s="10" t="s">
        <v>34</v>
      </c>
      <c r="J67" s="11">
        <f>F68/F66</f>
        <v>0.56840958605664493</v>
      </c>
    </row>
    <row r="68" spans="3:10" x14ac:dyDescent="0.3">
      <c r="C68" s="6"/>
      <c r="E68" s="10" t="s">
        <v>34</v>
      </c>
      <c r="F68" s="10">
        <f>E61+M61</f>
        <v>2609</v>
      </c>
    </row>
  </sheetData>
  <mergeCells count="23">
    <mergeCell ref="A19:E19"/>
    <mergeCell ref="I19:M19"/>
    <mergeCell ref="A17:B17"/>
    <mergeCell ref="I17:J17"/>
    <mergeCell ref="A31:B31"/>
    <mergeCell ref="A1:M1"/>
    <mergeCell ref="A3:E3"/>
    <mergeCell ref="I3:M3"/>
    <mergeCell ref="A5:E5"/>
    <mergeCell ref="I5:M5"/>
    <mergeCell ref="I31:J31"/>
    <mergeCell ref="A61:B61"/>
    <mergeCell ref="I61:J61"/>
    <mergeCell ref="A33:E33"/>
    <mergeCell ref="I33:M33"/>
    <mergeCell ref="A47:E47"/>
    <mergeCell ref="I47:M47"/>
    <mergeCell ref="A45:B45"/>
    <mergeCell ref="E65:F65"/>
    <mergeCell ref="I65:J65"/>
    <mergeCell ref="A59:B59"/>
    <mergeCell ref="I59:J59"/>
    <mergeCell ref="I45:J4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1C56A-33CB-4829-8CBB-D70BF6E6F1B6}">
  <dimension ref="A1:M68"/>
  <sheetViews>
    <sheetView workbookViewId="0">
      <selection activeCell="P18" sqref="P18"/>
    </sheetView>
  </sheetViews>
  <sheetFormatPr defaultRowHeight="14.4" x14ac:dyDescent="0.3"/>
  <cols>
    <col min="1" max="1" width="11.77734375" bestFit="1" customWidth="1"/>
    <col min="2" max="2" width="12" bestFit="1" customWidth="1"/>
    <col min="3" max="3" width="20.44140625" bestFit="1" customWidth="1"/>
    <col min="4" max="4" width="14.44140625" bestFit="1" customWidth="1"/>
    <col min="5" max="5" width="15.5546875" bestFit="1" customWidth="1"/>
    <col min="6" max="6" width="5" bestFit="1" customWidth="1"/>
    <col min="7" max="7" width="2.77734375" customWidth="1"/>
    <col min="8" max="8" width="3.109375" customWidth="1"/>
    <col min="9" max="9" width="11.77734375" bestFit="1" customWidth="1"/>
    <col min="10" max="10" width="12" bestFit="1" customWidth="1"/>
    <col min="11" max="11" width="20.44140625" bestFit="1" customWidth="1"/>
    <col min="12" max="12" width="14.44140625" bestFit="1" customWidth="1"/>
    <col min="13" max="13" width="15.5546875" bestFit="1" customWidth="1"/>
  </cols>
  <sheetData>
    <row r="1" spans="1:13" ht="18" x14ac:dyDescent="0.35">
      <c r="A1" s="28" t="s">
        <v>38</v>
      </c>
      <c r="B1" s="28"/>
      <c r="C1" s="28"/>
      <c r="D1" s="28"/>
      <c r="E1" s="28"/>
      <c r="F1" s="28"/>
      <c r="G1" s="28"/>
      <c r="H1" s="28"/>
      <c r="I1" s="28"/>
      <c r="J1" s="28"/>
      <c r="K1" s="28"/>
      <c r="L1" s="28"/>
      <c r="M1" s="28"/>
    </row>
    <row r="3" spans="1:13" ht="15.6" x14ac:dyDescent="0.3">
      <c r="A3" s="29" t="s">
        <v>0</v>
      </c>
      <c r="B3" s="29"/>
      <c r="C3" s="29"/>
      <c r="D3" s="29"/>
      <c r="E3" s="29"/>
      <c r="G3" s="1"/>
      <c r="I3" s="29" t="s">
        <v>1</v>
      </c>
      <c r="J3" s="29"/>
      <c r="K3" s="29"/>
      <c r="L3" s="29"/>
      <c r="M3" s="29"/>
    </row>
    <row r="4" spans="1:13" ht="15.6" x14ac:dyDescent="0.3">
      <c r="A4" s="2"/>
      <c r="B4" s="2"/>
      <c r="C4" s="2"/>
      <c r="D4" s="2"/>
      <c r="E4" s="2"/>
      <c r="G4" s="1"/>
      <c r="I4" s="2"/>
      <c r="J4" s="2"/>
      <c r="K4" s="2"/>
      <c r="L4" s="2"/>
      <c r="M4" s="2"/>
    </row>
    <row r="5" spans="1:13" x14ac:dyDescent="0.3">
      <c r="A5" s="26" t="s">
        <v>2</v>
      </c>
      <c r="B5" s="26"/>
      <c r="C5" s="26"/>
      <c r="D5" s="26"/>
      <c r="E5" s="26"/>
      <c r="G5" s="1"/>
      <c r="I5" s="26" t="s">
        <v>2</v>
      </c>
      <c r="J5" s="26"/>
      <c r="K5" s="26"/>
      <c r="L5" s="26"/>
      <c r="M5" s="26"/>
    </row>
    <row r="6" spans="1:13" x14ac:dyDescent="0.3">
      <c r="A6" s="3" t="s">
        <v>3</v>
      </c>
      <c r="B6" s="3" t="s">
        <v>4</v>
      </c>
      <c r="C6" s="3" t="s">
        <v>5</v>
      </c>
      <c r="D6" s="3" t="s">
        <v>6</v>
      </c>
      <c r="E6" s="3" t="s">
        <v>7</v>
      </c>
      <c r="G6" s="1"/>
      <c r="I6" s="3" t="s">
        <v>3</v>
      </c>
      <c r="J6" s="3" t="s">
        <v>4</v>
      </c>
      <c r="K6" s="3" t="s">
        <v>5</v>
      </c>
      <c r="L6" s="3" t="s">
        <v>6</v>
      </c>
      <c r="M6" s="3" t="s">
        <v>7</v>
      </c>
    </row>
    <row r="7" spans="1:13" x14ac:dyDescent="0.3">
      <c r="A7" s="4" t="s">
        <v>8</v>
      </c>
      <c r="B7" s="4">
        <v>385.65</v>
      </c>
      <c r="C7" s="4">
        <v>45</v>
      </c>
      <c r="D7" s="4">
        <v>20</v>
      </c>
      <c r="E7" s="4">
        <v>25</v>
      </c>
      <c r="G7" s="1"/>
      <c r="I7" s="4" t="s">
        <v>8</v>
      </c>
      <c r="J7" s="4">
        <v>1472.89</v>
      </c>
      <c r="K7" s="4">
        <v>38</v>
      </c>
      <c r="L7" s="4">
        <v>22</v>
      </c>
      <c r="M7" s="4">
        <v>16</v>
      </c>
    </row>
    <row r="8" spans="1:13" x14ac:dyDescent="0.3">
      <c r="A8" s="4" t="s">
        <v>9</v>
      </c>
      <c r="B8" s="4">
        <v>-187.32</v>
      </c>
      <c r="C8" s="4">
        <v>31</v>
      </c>
      <c r="D8" s="4">
        <v>12</v>
      </c>
      <c r="E8" s="4">
        <v>19</v>
      </c>
      <c r="G8" s="1"/>
      <c r="I8" s="4" t="s">
        <v>9</v>
      </c>
      <c r="J8" s="4">
        <v>1531.55</v>
      </c>
      <c r="K8" s="4">
        <v>48</v>
      </c>
      <c r="L8" s="4">
        <v>25</v>
      </c>
      <c r="M8" s="4">
        <v>23</v>
      </c>
    </row>
    <row r="9" spans="1:13" x14ac:dyDescent="0.3">
      <c r="A9" s="4" t="s">
        <v>10</v>
      </c>
      <c r="B9" s="4">
        <f>-2003.24</f>
        <v>-2003.24</v>
      </c>
      <c r="C9" s="4">
        <v>59</v>
      </c>
      <c r="D9" s="4">
        <v>19</v>
      </c>
      <c r="E9" s="4">
        <v>40</v>
      </c>
      <c r="G9" s="1"/>
      <c r="I9" s="4" t="s">
        <v>10</v>
      </c>
      <c r="J9" s="4">
        <v>-273.7</v>
      </c>
      <c r="K9" s="4">
        <v>45</v>
      </c>
      <c r="L9" s="4">
        <v>21</v>
      </c>
      <c r="M9" s="4">
        <v>24</v>
      </c>
    </row>
    <row r="10" spans="1:13" x14ac:dyDescent="0.3">
      <c r="A10" s="4" t="s">
        <v>11</v>
      </c>
      <c r="B10" s="4">
        <v>601.65</v>
      </c>
      <c r="C10" s="4">
        <v>43</v>
      </c>
      <c r="D10" s="4">
        <v>16</v>
      </c>
      <c r="E10" s="4">
        <v>27</v>
      </c>
      <c r="G10" s="1"/>
      <c r="I10" s="4" t="s">
        <v>11</v>
      </c>
      <c r="J10" s="4">
        <v>1118.83</v>
      </c>
      <c r="K10" s="4">
        <v>52</v>
      </c>
      <c r="L10" s="4">
        <v>24</v>
      </c>
      <c r="M10" s="4">
        <v>28</v>
      </c>
    </row>
    <row r="11" spans="1:13" x14ac:dyDescent="0.3">
      <c r="A11" s="4" t="s">
        <v>12</v>
      </c>
      <c r="B11" s="4">
        <v>-2735.2289999999998</v>
      </c>
      <c r="C11" s="4">
        <v>52</v>
      </c>
      <c r="D11" s="4">
        <v>18</v>
      </c>
      <c r="E11" s="4">
        <v>34</v>
      </c>
      <c r="G11" s="1"/>
      <c r="I11" s="4" t="s">
        <v>12</v>
      </c>
      <c r="J11" s="4">
        <v>-1677.05</v>
      </c>
      <c r="K11" s="4">
        <v>62</v>
      </c>
      <c r="L11" s="4">
        <v>19</v>
      </c>
      <c r="M11" s="4">
        <v>43</v>
      </c>
    </row>
    <row r="12" spans="1:13" x14ac:dyDescent="0.3">
      <c r="A12" s="4" t="s">
        <v>13</v>
      </c>
      <c r="B12" s="4">
        <v>-12.33</v>
      </c>
      <c r="C12" s="4">
        <v>41</v>
      </c>
      <c r="D12" s="4">
        <v>17</v>
      </c>
      <c r="E12" s="4">
        <v>24</v>
      </c>
      <c r="G12" s="1"/>
      <c r="I12" s="4" t="s">
        <v>13</v>
      </c>
      <c r="J12" s="4">
        <v>-1140.3900000000001</v>
      </c>
      <c r="K12" s="4">
        <v>57</v>
      </c>
      <c r="L12" s="4">
        <v>22</v>
      </c>
      <c r="M12" s="4">
        <v>35</v>
      </c>
    </row>
    <row r="13" spans="1:13" x14ac:dyDescent="0.3">
      <c r="A13" s="4" t="s">
        <v>14</v>
      </c>
      <c r="B13" s="4">
        <v>-833.19</v>
      </c>
      <c r="C13" s="4">
        <v>70</v>
      </c>
      <c r="D13" s="4">
        <v>27</v>
      </c>
      <c r="E13" s="4">
        <v>43</v>
      </c>
      <c r="G13" s="1"/>
      <c r="I13" s="4" t="s">
        <v>14</v>
      </c>
      <c r="J13" s="4">
        <v>2605.9899999999998</v>
      </c>
      <c r="K13" s="4">
        <v>50</v>
      </c>
      <c r="L13" s="4">
        <v>25</v>
      </c>
      <c r="M13" s="4">
        <v>25</v>
      </c>
    </row>
    <row r="14" spans="1:13" x14ac:dyDescent="0.3">
      <c r="A14" s="4" t="s">
        <v>15</v>
      </c>
      <c r="B14" s="4">
        <v>-793.7</v>
      </c>
      <c r="C14" s="4">
        <v>52</v>
      </c>
      <c r="D14" s="4">
        <v>18</v>
      </c>
      <c r="E14" s="4">
        <v>34</v>
      </c>
      <c r="G14" s="1"/>
      <c r="I14" s="4" t="s">
        <v>15</v>
      </c>
      <c r="J14" s="4">
        <v>93.47</v>
      </c>
      <c r="K14" s="4">
        <v>52</v>
      </c>
      <c r="L14" s="4">
        <v>19</v>
      </c>
      <c r="M14" s="4">
        <v>33</v>
      </c>
    </row>
    <row r="15" spans="1:13" x14ac:dyDescent="0.3">
      <c r="A15" s="4" t="s">
        <v>16</v>
      </c>
      <c r="B15" s="4">
        <v>49.54</v>
      </c>
      <c r="C15" s="4">
        <v>47</v>
      </c>
      <c r="D15" s="4">
        <v>16</v>
      </c>
      <c r="E15" s="4">
        <v>31</v>
      </c>
      <c r="G15" s="1"/>
      <c r="I15" s="4" t="s">
        <v>16</v>
      </c>
      <c r="J15" s="4">
        <v>2459.4499999999998</v>
      </c>
      <c r="K15" s="4">
        <v>49</v>
      </c>
      <c r="L15" s="4">
        <v>24</v>
      </c>
      <c r="M15" s="4">
        <v>25</v>
      </c>
    </row>
    <row r="16" spans="1:13" x14ac:dyDescent="0.3">
      <c r="A16" s="4" t="s">
        <v>17</v>
      </c>
      <c r="B16" s="4">
        <v>773.51</v>
      </c>
      <c r="C16" s="4">
        <v>31</v>
      </c>
      <c r="D16" s="4">
        <v>11</v>
      </c>
      <c r="E16" s="4">
        <v>20</v>
      </c>
      <c r="G16" s="1"/>
      <c r="I16" s="4" t="s">
        <v>17</v>
      </c>
      <c r="J16" s="4">
        <v>-861</v>
      </c>
      <c r="K16" s="4">
        <v>63</v>
      </c>
      <c r="L16" s="4">
        <v>24</v>
      </c>
      <c r="M16" s="4">
        <v>39</v>
      </c>
    </row>
    <row r="17" spans="1:13" x14ac:dyDescent="0.3">
      <c r="A17" s="24" t="s">
        <v>23</v>
      </c>
      <c r="B17" s="24"/>
      <c r="C17" s="7">
        <f>SUM(C7:C16)</f>
        <v>471</v>
      </c>
      <c r="D17" s="7">
        <f>SUM(D7:D16)</f>
        <v>174</v>
      </c>
      <c r="E17" s="7">
        <f>SUM(E7:E16)</f>
        <v>297</v>
      </c>
      <c r="G17" s="1"/>
      <c r="I17" s="24" t="s">
        <v>23</v>
      </c>
      <c r="J17" s="24"/>
      <c r="K17" s="7">
        <f>SUM(K7:K16)</f>
        <v>516</v>
      </c>
      <c r="L17" s="7">
        <f>SUM(L7:L16)</f>
        <v>225</v>
      </c>
      <c r="M17" s="7">
        <f>SUM(M7:M16)</f>
        <v>291</v>
      </c>
    </row>
    <row r="18" spans="1:13" x14ac:dyDescent="0.3">
      <c r="G18" s="1"/>
    </row>
    <row r="19" spans="1:13" x14ac:dyDescent="0.3">
      <c r="A19" s="26" t="s">
        <v>18</v>
      </c>
      <c r="B19" s="26"/>
      <c r="C19" s="26"/>
      <c r="D19" s="26"/>
      <c r="E19" s="26"/>
      <c r="G19" s="1"/>
      <c r="I19" s="26" t="s">
        <v>18</v>
      </c>
      <c r="J19" s="26"/>
      <c r="K19" s="26"/>
      <c r="L19" s="26"/>
      <c r="M19" s="26"/>
    </row>
    <row r="20" spans="1:13" x14ac:dyDescent="0.3">
      <c r="A20" s="3" t="s">
        <v>3</v>
      </c>
      <c r="B20" s="3" t="s">
        <v>4</v>
      </c>
      <c r="C20" s="3" t="s">
        <v>5</v>
      </c>
      <c r="D20" s="3" t="s">
        <v>6</v>
      </c>
      <c r="E20" s="3" t="s">
        <v>7</v>
      </c>
      <c r="G20" s="1"/>
      <c r="I20" s="3" t="s">
        <v>3</v>
      </c>
      <c r="J20" s="3" t="s">
        <v>4</v>
      </c>
      <c r="K20" s="3" t="s">
        <v>5</v>
      </c>
      <c r="L20" s="3" t="s">
        <v>6</v>
      </c>
      <c r="M20" s="3" t="s">
        <v>7</v>
      </c>
    </row>
    <row r="21" spans="1:13" x14ac:dyDescent="0.3">
      <c r="A21" s="4" t="s">
        <v>8</v>
      </c>
      <c r="B21" s="4">
        <v>-182.85</v>
      </c>
      <c r="C21" s="4">
        <v>28</v>
      </c>
      <c r="D21" s="4">
        <v>17</v>
      </c>
      <c r="E21" s="4">
        <v>11</v>
      </c>
      <c r="G21" s="1"/>
      <c r="I21" s="4" t="s">
        <v>8</v>
      </c>
      <c r="J21" s="4">
        <v>-502.7</v>
      </c>
      <c r="K21" s="4">
        <v>47</v>
      </c>
      <c r="L21" s="4">
        <v>23</v>
      </c>
      <c r="M21" s="4">
        <v>24</v>
      </c>
    </row>
    <row r="22" spans="1:13" x14ac:dyDescent="0.3">
      <c r="A22" s="4" t="s">
        <v>9</v>
      </c>
      <c r="B22" s="4">
        <v>-1755.78</v>
      </c>
      <c r="C22" s="4">
        <v>33</v>
      </c>
      <c r="D22" s="4">
        <v>14</v>
      </c>
      <c r="E22" s="4">
        <v>19</v>
      </c>
      <c r="G22" s="1"/>
      <c r="I22" s="4" t="s">
        <v>9</v>
      </c>
      <c r="J22" s="4">
        <v>-1480.96</v>
      </c>
      <c r="K22" s="4">
        <v>43</v>
      </c>
      <c r="L22" s="4">
        <v>19</v>
      </c>
      <c r="M22" s="4">
        <v>24</v>
      </c>
    </row>
    <row r="23" spans="1:13" x14ac:dyDescent="0.3">
      <c r="A23" s="4" t="s">
        <v>10</v>
      </c>
      <c r="B23" s="4">
        <v>-2362.04</v>
      </c>
      <c r="C23" s="4">
        <v>40</v>
      </c>
      <c r="D23" s="4">
        <v>13</v>
      </c>
      <c r="E23" s="4">
        <v>27</v>
      </c>
      <c r="G23" s="1"/>
      <c r="I23" s="4" t="s">
        <v>10</v>
      </c>
      <c r="J23" s="4">
        <v>-665.65</v>
      </c>
      <c r="K23" s="4">
        <v>50</v>
      </c>
      <c r="L23" s="4">
        <v>21</v>
      </c>
      <c r="M23" s="4">
        <v>29</v>
      </c>
    </row>
    <row r="24" spans="1:13" x14ac:dyDescent="0.3">
      <c r="A24" s="4" t="s">
        <v>11</v>
      </c>
      <c r="B24" s="4">
        <v>17.93</v>
      </c>
      <c r="C24" s="4">
        <v>40</v>
      </c>
      <c r="D24" s="4">
        <v>19</v>
      </c>
      <c r="E24" s="4">
        <v>21</v>
      </c>
      <c r="G24" s="1"/>
      <c r="I24" s="4" t="s">
        <v>11</v>
      </c>
      <c r="J24" s="4">
        <v>1182.8</v>
      </c>
      <c r="K24" s="4">
        <v>50</v>
      </c>
      <c r="L24" s="4">
        <v>25</v>
      </c>
      <c r="M24" s="4">
        <v>25</v>
      </c>
    </row>
    <row r="25" spans="1:13" x14ac:dyDescent="0.3">
      <c r="A25" s="4" t="s">
        <v>12</v>
      </c>
      <c r="B25" s="4">
        <v>-1398.39</v>
      </c>
      <c r="C25" s="4">
        <v>48</v>
      </c>
      <c r="D25" s="4">
        <v>17</v>
      </c>
      <c r="E25" s="4">
        <v>31</v>
      </c>
      <c r="G25" s="1"/>
      <c r="I25" s="4" t="s">
        <v>12</v>
      </c>
      <c r="J25" s="4">
        <v>-1144.8499999999999</v>
      </c>
      <c r="K25" s="4">
        <v>58</v>
      </c>
      <c r="L25" s="4">
        <v>22</v>
      </c>
      <c r="M25" s="4">
        <v>36</v>
      </c>
    </row>
    <row r="26" spans="1:13" x14ac:dyDescent="0.3">
      <c r="A26" s="4" t="s">
        <v>13</v>
      </c>
      <c r="B26" s="4">
        <v>-510.19</v>
      </c>
      <c r="C26" s="4">
        <v>36</v>
      </c>
      <c r="D26" s="4">
        <v>16</v>
      </c>
      <c r="E26" s="4">
        <v>20</v>
      </c>
      <c r="G26" s="1"/>
      <c r="I26" s="4" t="s">
        <v>13</v>
      </c>
      <c r="J26" s="4">
        <v>1075.79</v>
      </c>
      <c r="K26" s="4">
        <v>51</v>
      </c>
      <c r="L26" s="4">
        <v>25</v>
      </c>
      <c r="M26" s="4">
        <v>26</v>
      </c>
    </row>
    <row r="27" spans="1:13" x14ac:dyDescent="0.3">
      <c r="A27" s="4" t="s">
        <v>14</v>
      </c>
      <c r="B27" s="4">
        <v>-1260.8399999999999</v>
      </c>
      <c r="C27" s="4">
        <v>39</v>
      </c>
      <c r="D27" s="4">
        <v>16</v>
      </c>
      <c r="E27" s="4">
        <v>23</v>
      </c>
      <c r="G27" s="1"/>
      <c r="I27" s="4" t="s">
        <v>14</v>
      </c>
      <c r="J27" s="4">
        <v>2841.14</v>
      </c>
      <c r="K27" s="4">
        <v>47</v>
      </c>
      <c r="L27" s="4">
        <v>26</v>
      </c>
      <c r="M27" s="4">
        <v>21</v>
      </c>
    </row>
    <row r="28" spans="1:13" x14ac:dyDescent="0.3">
      <c r="A28" s="4" t="s">
        <v>15</v>
      </c>
      <c r="B28" s="4">
        <v>-295.85000000000002</v>
      </c>
      <c r="C28" s="4">
        <v>46</v>
      </c>
      <c r="D28" s="4">
        <v>18</v>
      </c>
      <c r="E28" s="4">
        <v>28</v>
      </c>
      <c r="G28" s="1"/>
      <c r="I28" s="4" t="s">
        <v>15</v>
      </c>
      <c r="J28" s="4">
        <v>1947.9</v>
      </c>
      <c r="K28" s="4">
        <v>41</v>
      </c>
      <c r="L28" s="4">
        <v>20</v>
      </c>
      <c r="M28" s="4">
        <v>21</v>
      </c>
    </row>
    <row r="29" spans="1:13" x14ac:dyDescent="0.3">
      <c r="A29" s="4" t="s">
        <v>16</v>
      </c>
      <c r="B29" s="4">
        <v>-1651.26</v>
      </c>
      <c r="C29" s="4">
        <v>38</v>
      </c>
      <c r="D29" s="4">
        <v>11</v>
      </c>
      <c r="E29" s="4">
        <v>27</v>
      </c>
      <c r="G29" s="1"/>
      <c r="I29" s="4" t="s">
        <v>16</v>
      </c>
      <c r="J29" s="4">
        <v>2979.59</v>
      </c>
      <c r="K29" s="4">
        <v>46</v>
      </c>
      <c r="L29" s="4">
        <v>26</v>
      </c>
      <c r="M29" s="4">
        <v>20</v>
      </c>
    </row>
    <row r="30" spans="1:13" x14ac:dyDescent="0.3">
      <c r="A30" s="4" t="s">
        <v>17</v>
      </c>
      <c r="B30" s="4">
        <v>-1878.4</v>
      </c>
      <c r="C30" s="4">
        <v>58</v>
      </c>
      <c r="D30" s="4">
        <v>20</v>
      </c>
      <c r="E30" s="4">
        <v>38</v>
      </c>
      <c r="G30" s="1"/>
      <c r="I30" s="4" t="s">
        <v>17</v>
      </c>
      <c r="J30" s="4">
        <v>5317.06</v>
      </c>
      <c r="K30" s="4">
        <v>48</v>
      </c>
      <c r="L30" s="4">
        <v>27</v>
      </c>
      <c r="M30" s="4">
        <v>21</v>
      </c>
    </row>
    <row r="31" spans="1:13" x14ac:dyDescent="0.3">
      <c r="A31" s="24" t="s">
        <v>23</v>
      </c>
      <c r="B31" s="24"/>
      <c r="C31" s="7">
        <f>SUM(C21:C30)</f>
        <v>406</v>
      </c>
      <c r="D31" s="7">
        <f>SUM(D21:D30)</f>
        <v>161</v>
      </c>
      <c r="E31" s="7">
        <f>SUM(E21:E30)</f>
        <v>245</v>
      </c>
      <c r="G31" s="1"/>
      <c r="I31" s="24" t="s">
        <v>23</v>
      </c>
      <c r="J31" s="24"/>
      <c r="K31" s="7">
        <f>SUM(K21:K30)</f>
        <v>481</v>
      </c>
      <c r="L31" s="7">
        <f>SUM(L21:L30)</f>
        <v>234</v>
      </c>
      <c r="M31" s="7">
        <f>SUM(M21:M30)</f>
        <v>247</v>
      </c>
    </row>
    <row r="32" spans="1:13" x14ac:dyDescent="0.3">
      <c r="G32" s="1"/>
    </row>
    <row r="33" spans="1:13" x14ac:dyDescent="0.3">
      <c r="A33" s="26" t="s">
        <v>19</v>
      </c>
      <c r="B33" s="26"/>
      <c r="C33" s="26"/>
      <c r="D33" s="26"/>
      <c r="E33" s="26"/>
      <c r="G33" s="1"/>
      <c r="I33" s="27" t="s">
        <v>19</v>
      </c>
      <c r="J33" s="27"/>
      <c r="K33" s="27"/>
      <c r="L33" s="27"/>
      <c r="M33" s="27"/>
    </row>
    <row r="34" spans="1:13" x14ac:dyDescent="0.3">
      <c r="A34" s="3" t="s">
        <v>3</v>
      </c>
      <c r="B34" s="3" t="s">
        <v>4</v>
      </c>
      <c r="C34" s="3" t="s">
        <v>5</v>
      </c>
      <c r="D34" s="3" t="s">
        <v>6</v>
      </c>
      <c r="E34" s="3" t="s">
        <v>7</v>
      </c>
      <c r="G34" s="1"/>
      <c r="I34" s="3" t="s">
        <v>3</v>
      </c>
      <c r="J34" s="3" t="s">
        <v>4</v>
      </c>
      <c r="K34" s="3" t="s">
        <v>5</v>
      </c>
      <c r="L34" s="3" t="s">
        <v>6</v>
      </c>
      <c r="M34" s="3" t="s">
        <v>7</v>
      </c>
    </row>
    <row r="35" spans="1:13" x14ac:dyDescent="0.3">
      <c r="A35" s="4" t="s">
        <v>8</v>
      </c>
      <c r="B35" s="4">
        <v>-1871.39</v>
      </c>
      <c r="C35" s="4">
        <v>47</v>
      </c>
      <c r="D35" s="4">
        <v>21</v>
      </c>
      <c r="E35" s="4">
        <v>26</v>
      </c>
      <c r="G35" s="1"/>
      <c r="I35" s="4" t="s">
        <v>8</v>
      </c>
      <c r="J35" s="4">
        <v>-408.85</v>
      </c>
      <c r="K35" s="4">
        <v>35</v>
      </c>
      <c r="L35" s="4">
        <v>17</v>
      </c>
      <c r="M35" s="4">
        <v>18</v>
      </c>
    </row>
    <row r="36" spans="1:13" x14ac:dyDescent="0.3">
      <c r="A36" s="4" t="s">
        <v>9</v>
      </c>
      <c r="B36" s="4">
        <v>-1278.69</v>
      </c>
      <c r="C36" s="4">
        <v>43</v>
      </c>
      <c r="D36" s="4">
        <v>17</v>
      </c>
      <c r="E36" s="4">
        <v>26</v>
      </c>
      <c r="G36" s="1"/>
      <c r="I36" s="4" t="s">
        <v>9</v>
      </c>
      <c r="J36" s="4">
        <v>-306</v>
      </c>
      <c r="K36" s="4">
        <v>36</v>
      </c>
      <c r="L36" s="4">
        <v>16</v>
      </c>
      <c r="M36" s="4">
        <v>20</v>
      </c>
    </row>
    <row r="37" spans="1:13" x14ac:dyDescent="0.3">
      <c r="A37" s="4" t="s">
        <v>10</v>
      </c>
      <c r="B37" s="4">
        <v>-1156.6400000000001</v>
      </c>
      <c r="C37" s="4">
        <v>49</v>
      </c>
      <c r="D37" s="4">
        <v>20</v>
      </c>
      <c r="E37" s="4">
        <v>29</v>
      </c>
      <c r="G37" s="1"/>
      <c r="I37" s="4" t="s">
        <v>10</v>
      </c>
      <c r="J37" s="4">
        <v>392.89</v>
      </c>
      <c r="K37" s="4">
        <v>38</v>
      </c>
      <c r="L37" s="4">
        <v>18</v>
      </c>
      <c r="M37" s="4">
        <v>20</v>
      </c>
    </row>
    <row r="38" spans="1:13" x14ac:dyDescent="0.3">
      <c r="A38" s="4" t="s">
        <v>11</v>
      </c>
      <c r="B38" s="4">
        <v>2328.0100000000002</v>
      </c>
      <c r="C38" s="4">
        <v>54</v>
      </c>
      <c r="D38" s="4">
        <v>29</v>
      </c>
      <c r="E38" s="4">
        <v>25</v>
      </c>
      <c r="G38" s="1"/>
      <c r="I38" s="4" t="s">
        <v>11</v>
      </c>
      <c r="J38" s="4">
        <v>4403.51</v>
      </c>
      <c r="K38" s="4">
        <v>51</v>
      </c>
      <c r="L38" s="4">
        <v>32</v>
      </c>
      <c r="M38" s="4">
        <v>19</v>
      </c>
    </row>
    <row r="39" spans="1:13" x14ac:dyDescent="0.3">
      <c r="A39" s="4" t="s">
        <v>12</v>
      </c>
      <c r="B39" s="4">
        <v>303.60000000000002</v>
      </c>
      <c r="C39" s="4">
        <v>39</v>
      </c>
      <c r="D39" s="4">
        <v>18</v>
      </c>
      <c r="E39" s="4">
        <v>21</v>
      </c>
      <c r="G39" s="1"/>
      <c r="I39" s="4" t="s">
        <v>12</v>
      </c>
      <c r="J39" s="4">
        <v>-626.04999999999995</v>
      </c>
      <c r="K39" s="4">
        <v>45</v>
      </c>
      <c r="L39" s="4">
        <v>21</v>
      </c>
      <c r="M39" s="4">
        <v>24</v>
      </c>
    </row>
    <row r="40" spans="1:13" x14ac:dyDescent="0.3">
      <c r="A40" s="4" t="s">
        <v>13</v>
      </c>
      <c r="B40" s="4">
        <v>10.68</v>
      </c>
      <c r="C40" s="4">
        <v>45</v>
      </c>
      <c r="D40" s="4">
        <v>17</v>
      </c>
      <c r="E40" s="4">
        <v>28</v>
      </c>
      <c r="G40" s="1"/>
      <c r="I40" s="4" t="s">
        <v>13</v>
      </c>
      <c r="J40" s="4">
        <v>776.19</v>
      </c>
      <c r="K40" s="4">
        <v>54</v>
      </c>
      <c r="L40" s="4">
        <v>24</v>
      </c>
      <c r="M40" s="4">
        <v>30</v>
      </c>
    </row>
    <row r="41" spans="1:13" x14ac:dyDescent="0.3">
      <c r="A41" s="4" t="s">
        <v>14</v>
      </c>
      <c r="B41" s="4">
        <v>-777.39</v>
      </c>
      <c r="C41" s="4">
        <v>40</v>
      </c>
      <c r="D41" s="4">
        <v>14</v>
      </c>
      <c r="E41" s="4">
        <v>26</v>
      </c>
      <c r="G41" s="1"/>
      <c r="I41" s="4" t="s">
        <v>14</v>
      </c>
      <c r="J41" s="4">
        <v>-442.75</v>
      </c>
      <c r="K41" s="4">
        <v>47</v>
      </c>
      <c r="L41" s="4">
        <v>20</v>
      </c>
      <c r="M41" s="4">
        <v>27</v>
      </c>
    </row>
    <row r="42" spans="1:13" x14ac:dyDescent="0.3">
      <c r="A42" s="4" t="s">
        <v>15</v>
      </c>
      <c r="B42" s="4">
        <v>-2420.0500000000002</v>
      </c>
      <c r="C42" s="4">
        <v>55</v>
      </c>
      <c r="D42" s="4">
        <v>21</v>
      </c>
      <c r="E42" s="4">
        <v>34</v>
      </c>
      <c r="G42" s="1"/>
      <c r="I42" s="4" t="s">
        <v>15</v>
      </c>
      <c r="J42" s="4">
        <v>1454.36</v>
      </c>
      <c r="K42" s="4">
        <v>41</v>
      </c>
      <c r="L42" s="4">
        <v>22</v>
      </c>
      <c r="M42" s="4">
        <v>19</v>
      </c>
    </row>
    <row r="43" spans="1:13" x14ac:dyDescent="0.3">
      <c r="A43" s="4" t="s">
        <v>16</v>
      </c>
      <c r="B43" s="4">
        <v>-1633.32</v>
      </c>
      <c r="C43" s="4">
        <v>50</v>
      </c>
      <c r="D43" s="4">
        <v>16</v>
      </c>
      <c r="E43" s="4">
        <v>34</v>
      </c>
      <c r="G43" s="1"/>
      <c r="I43" s="4" t="s">
        <v>16</v>
      </c>
      <c r="J43" s="4">
        <v>835.18</v>
      </c>
      <c r="K43" s="4">
        <v>47</v>
      </c>
      <c r="L43" s="4">
        <v>20</v>
      </c>
      <c r="M43" s="4">
        <v>27</v>
      </c>
    </row>
    <row r="44" spans="1:13" x14ac:dyDescent="0.3">
      <c r="A44" s="4" t="s">
        <v>17</v>
      </c>
      <c r="B44" s="4">
        <v>1971.61</v>
      </c>
      <c r="C44" s="4">
        <v>29</v>
      </c>
      <c r="D44" s="4">
        <v>17</v>
      </c>
      <c r="E44" s="4">
        <v>12</v>
      </c>
      <c r="G44" s="1"/>
      <c r="I44" s="4" t="s">
        <v>17</v>
      </c>
      <c r="J44" s="4">
        <v>219.35</v>
      </c>
      <c r="K44" s="4">
        <v>43</v>
      </c>
      <c r="L44" s="4">
        <v>20</v>
      </c>
      <c r="M44" s="4">
        <v>23</v>
      </c>
    </row>
    <row r="45" spans="1:13" x14ac:dyDescent="0.3">
      <c r="A45" s="24" t="s">
        <v>23</v>
      </c>
      <c r="B45" s="24"/>
      <c r="C45" s="7">
        <f>SUM(C35:C44)</f>
        <v>451</v>
      </c>
      <c r="D45" s="7">
        <f>SUM(D35:D44)</f>
        <v>190</v>
      </c>
      <c r="E45" s="7">
        <f>SUM(E35:E44)</f>
        <v>261</v>
      </c>
      <c r="G45" s="1"/>
      <c r="I45" s="24" t="s">
        <v>23</v>
      </c>
      <c r="J45" s="24"/>
      <c r="K45" s="7">
        <f>SUM(K35:K44)</f>
        <v>437</v>
      </c>
      <c r="L45" s="7">
        <f>SUM(L35:L44)</f>
        <v>210</v>
      </c>
      <c r="M45" s="7">
        <f>SUM(M35:M44)</f>
        <v>227</v>
      </c>
    </row>
    <row r="46" spans="1:13" x14ac:dyDescent="0.3">
      <c r="G46" s="1"/>
    </row>
    <row r="47" spans="1:13" x14ac:dyDescent="0.3">
      <c r="A47" s="26" t="s">
        <v>20</v>
      </c>
      <c r="B47" s="26"/>
      <c r="C47" s="26"/>
      <c r="D47" s="26"/>
      <c r="E47" s="26"/>
      <c r="G47" s="1"/>
      <c r="I47" s="26" t="s">
        <v>20</v>
      </c>
      <c r="J47" s="26"/>
      <c r="K47" s="26"/>
      <c r="L47" s="26"/>
      <c r="M47" s="26"/>
    </row>
    <row r="48" spans="1:13" x14ac:dyDescent="0.3">
      <c r="A48" s="3" t="s">
        <v>3</v>
      </c>
      <c r="B48" s="3" t="s">
        <v>4</v>
      </c>
      <c r="C48" s="3" t="s">
        <v>5</v>
      </c>
      <c r="D48" s="3" t="s">
        <v>6</v>
      </c>
      <c r="E48" s="3" t="s">
        <v>7</v>
      </c>
      <c r="G48" s="1"/>
      <c r="I48" s="3" t="s">
        <v>3</v>
      </c>
      <c r="J48" s="3" t="s">
        <v>4</v>
      </c>
      <c r="K48" s="3" t="s">
        <v>5</v>
      </c>
      <c r="L48" s="3" t="s">
        <v>6</v>
      </c>
      <c r="M48" s="3" t="s">
        <v>7</v>
      </c>
    </row>
    <row r="49" spans="1:13" x14ac:dyDescent="0.3">
      <c r="A49" s="4" t="s">
        <v>8</v>
      </c>
      <c r="B49" s="4">
        <v>-578.54</v>
      </c>
      <c r="C49" s="4">
        <v>40</v>
      </c>
      <c r="D49" s="4">
        <v>15</v>
      </c>
      <c r="E49" s="4">
        <v>25</v>
      </c>
      <c r="G49" s="1"/>
      <c r="I49" s="4" t="s">
        <v>8</v>
      </c>
      <c r="J49" s="4">
        <v>239.14</v>
      </c>
      <c r="K49" s="4">
        <v>44</v>
      </c>
      <c r="L49" s="4">
        <v>22</v>
      </c>
      <c r="M49" s="4">
        <v>22</v>
      </c>
    </row>
    <row r="50" spans="1:13" x14ac:dyDescent="0.3">
      <c r="A50" s="4" t="s">
        <v>9</v>
      </c>
      <c r="B50" s="4">
        <v>920.71</v>
      </c>
      <c r="C50" s="4">
        <v>41</v>
      </c>
      <c r="D50" s="4">
        <v>21</v>
      </c>
      <c r="E50" s="4">
        <v>20</v>
      </c>
      <c r="G50" s="1"/>
      <c r="I50" s="4" t="s">
        <v>9</v>
      </c>
      <c r="J50" s="4">
        <v>-547.14</v>
      </c>
      <c r="K50" s="4">
        <v>57</v>
      </c>
      <c r="L50" s="4">
        <v>24</v>
      </c>
      <c r="M50" s="4">
        <v>33</v>
      </c>
    </row>
    <row r="51" spans="1:13" x14ac:dyDescent="0.3">
      <c r="A51" s="4" t="s">
        <v>10</v>
      </c>
      <c r="B51" s="4">
        <v>-443.29</v>
      </c>
      <c r="C51" s="4">
        <v>39</v>
      </c>
      <c r="D51" s="4">
        <v>16</v>
      </c>
      <c r="E51" s="4">
        <v>23</v>
      </c>
      <c r="G51" s="1"/>
      <c r="I51" s="4" t="s">
        <v>10</v>
      </c>
      <c r="J51" s="4">
        <v>-1908.45</v>
      </c>
      <c r="K51" s="4">
        <v>46</v>
      </c>
      <c r="L51" s="4">
        <v>16</v>
      </c>
      <c r="M51" s="4">
        <v>30</v>
      </c>
    </row>
    <row r="52" spans="1:13" x14ac:dyDescent="0.3">
      <c r="A52" s="4" t="s">
        <v>11</v>
      </c>
      <c r="B52" s="4">
        <v>251.83</v>
      </c>
      <c r="C52" s="4">
        <v>50</v>
      </c>
      <c r="D52" s="4">
        <v>19</v>
      </c>
      <c r="E52" s="4">
        <v>31</v>
      </c>
      <c r="G52" s="1"/>
      <c r="I52" s="4" t="s">
        <v>11</v>
      </c>
      <c r="J52" s="4">
        <v>3101.7</v>
      </c>
      <c r="K52" s="4">
        <v>52</v>
      </c>
      <c r="L52" s="4">
        <v>28</v>
      </c>
      <c r="M52" s="4">
        <v>24</v>
      </c>
    </row>
    <row r="53" spans="1:13" x14ac:dyDescent="0.3">
      <c r="A53" s="4" t="s">
        <v>12</v>
      </c>
      <c r="B53" s="4">
        <v>-3654.64</v>
      </c>
      <c r="C53" s="4">
        <v>62</v>
      </c>
      <c r="D53" s="4">
        <v>18</v>
      </c>
      <c r="E53" s="4">
        <v>44</v>
      </c>
      <c r="G53" s="1"/>
      <c r="I53" s="4" t="s">
        <v>12</v>
      </c>
      <c r="J53" s="4">
        <v>-705.7</v>
      </c>
      <c r="K53" s="4">
        <v>58</v>
      </c>
      <c r="L53" s="4">
        <v>24</v>
      </c>
      <c r="M53" s="4">
        <v>34</v>
      </c>
    </row>
    <row r="54" spans="1:13" x14ac:dyDescent="0.3">
      <c r="A54" s="4" t="s">
        <v>13</v>
      </c>
      <c r="B54" s="4">
        <v>-2750.13</v>
      </c>
      <c r="C54" s="4">
        <v>58</v>
      </c>
      <c r="D54" s="4">
        <v>17</v>
      </c>
      <c r="E54" s="4">
        <v>41</v>
      </c>
      <c r="G54" s="1"/>
      <c r="I54" s="4" t="s">
        <v>13</v>
      </c>
      <c r="J54" s="4">
        <v>-574.39</v>
      </c>
      <c r="K54" s="4">
        <v>50</v>
      </c>
      <c r="L54" s="4">
        <v>17</v>
      </c>
      <c r="M54" s="4">
        <v>33</v>
      </c>
    </row>
    <row r="55" spans="1:13" x14ac:dyDescent="0.3">
      <c r="A55" s="4" t="s">
        <v>14</v>
      </c>
      <c r="B55" s="4">
        <v>-2316.39</v>
      </c>
      <c r="C55" s="4">
        <v>62</v>
      </c>
      <c r="D55" s="4">
        <v>19</v>
      </c>
      <c r="E55" s="4">
        <v>43</v>
      </c>
      <c r="G55" s="1"/>
      <c r="I55" s="4" t="s">
        <v>14</v>
      </c>
      <c r="J55" s="4">
        <v>-694</v>
      </c>
      <c r="K55" s="4">
        <v>36</v>
      </c>
      <c r="L55" s="4">
        <v>26</v>
      </c>
      <c r="M55" s="4">
        <v>37</v>
      </c>
    </row>
    <row r="56" spans="1:13" x14ac:dyDescent="0.3">
      <c r="A56" s="4" t="s">
        <v>15</v>
      </c>
      <c r="B56" s="4">
        <v>-2350.52</v>
      </c>
      <c r="C56" s="4">
        <v>56</v>
      </c>
      <c r="D56" s="4">
        <v>17</v>
      </c>
      <c r="E56" s="4">
        <v>39</v>
      </c>
      <c r="G56" s="1"/>
      <c r="I56" s="4" t="s">
        <v>15</v>
      </c>
      <c r="J56" s="4">
        <v>915.2</v>
      </c>
      <c r="K56" s="4">
        <v>48</v>
      </c>
      <c r="L56" s="4">
        <v>20</v>
      </c>
      <c r="M56" s="4">
        <v>28</v>
      </c>
    </row>
    <row r="57" spans="1:13" x14ac:dyDescent="0.3">
      <c r="A57" s="4" t="s">
        <v>16</v>
      </c>
      <c r="B57" s="4">
        <v>-4549.7</v>
      </c>
      <c r="C57" s="4">
        <v>69</v>
      </c>
      <c r="D57" s="4">
        <v>18</v>
      </c>
      <c r="E57" s="4">
        <v>51</v>
      </c>
      <c r="G57" s="1"/>
      <c r="I57" s="4" t="s">
        <v>16</v>
      </c>
      <c r="J57" s="4">
        <v>872.59</v>
      </c>
      <c r="K57" s="4">
        <v>43</v>
      </c>
      <c r="L57" s="4">
        <v>19</v>
      </c>
      <c r="M57" s="4">
        <v>24</v>
      </c>
    </row>
    <row r="58" spans="1:13" x14ac:dyDescent="0.3">
      <c r="A58" s="4" t="s">
        <v>17</v>
      </c>
      <c r="B58" s="4">
        <v>-677.46</v>
      </c>
      <c r="C58" s="4">
        <v>45</v>
      </c>
      <c r="D58" s="4">
        <v>15</v>
      </c>
      <c r="E58" s="4">
        <v>30</v>
      </c>
      <c r="G58" s="1"/>
      <c r="I58" s="4" t="s">
        <v>17</v>
      </c>
      <c r="J58" s="4">
        <v>1532.29</v>
      </c>
      <c r="K58" s="4">
        <v>39</v>
      </c>
      <c r="L58" s="4">
        <v>18</v>
      </c>
      <c r="M58" s="4">
        <v>21</v>
      </c>
    </row>
    <row r="59" spans="1:13" x14ac:dyDescent="0.3">
      <c r="A59" s="24" t="s">
        <v>23</v>
      </c>
      <c r="B59" s="24"/>
      <c r="C59" s="7">
        <f>SUM(C49:C58)</f>
        <v>522</v>
      </c>
      <c r="D59" s="7">
        <f>SUM(D49:D58)</f>
        <v>175</v>
      </c>
      <c r="E59" s="7">
        <f>SUM(E49:E58)</f>
        <v>347</v>
      </c>
      <c r="I59" s="24" t="s">
        <v>23</v>
      </c>
      <c r="J59" s="24"/>
      <c r="K59" s="7">
        <f>SUM(K49:K58)</f>
        <v>473</v>
      </c>
      <c r="L59" s="7">
        <f>SUM(L49:L58)</f>
        <v>214</v>
      </c>
      <c r="M59" s="7">
        <f>SUM(M49:M58)</f>
        <v>286</v>
      </c>
    </row>
    <row r="61" spans="1:13" x14ac:dyDescent="0.3">
      <c r="A61" s="25" t="s">
        <v>22</v>
      </c>
      <c r="B61" s="25"/>
      <c r="C61" s="8">
        <f>C59+C45+C31+C17</f>
        <v>1850</v>
      </c>
      <c r="D61" s="8">
        <f t="shared" ref="D61:E61" si="0">D59+D45+D31+D17</f>
        <v>700</v>
      </c>
      <c r="E61" s="8">
        <f t="shared" si="0"/>
        <v>1150</v>
      </c>
      <c r="I61" s="25" t="s">
        <v>31</v>
      </c>
      <c r="J61" s="25"/>
      <c r="K61" s="8">
        <f>K59+K45+K31+K17</f>
        <v>1907</v>
      </c>
      <c r="L61" s="8">
        <f t="shared" ref="L61:M61" si="1">L59+L45+L31+L17</f>
        <v>883</v>
      </c>
      <c r="M61" s="8">
        <f t="shared" si="1"/>
        <v>1051</v>
      </c>
    </row>
    <row r="65" spans="3:10" x14ac:dyDescent="0.3">
      <c r="E65" s="23" t="s">
        <v>35</v>
      </c>
      <c r="F65" s="23"/>
      <c r="I65" s="23" t="s">
        <v>37</v>
      </c>
      <c r="J65" s="23"/>
    </row>
    <row r="66" spans="3:10" x14ac:dyDescent="0.3">
      <c r="C66" s="5"/>
      <c r="E66" s="10" t="s">
        <v>32</v>
      </c>
      <c r="F66" s="10">
        <f>C61+K61</f>
        <v>3757</v>
      </c>
      <c r="I66" s="10" t="s">
        <v>36</v>
      </c>
      <c r="J66" s="11">
        <f>F67/F66</f>
        <v>0.42134681927069473</v>
      </c>
    </row>
    <row r="67" spans="3:10" x14ac:dyDescent="0.3">
      <c r="C67" s="5"/>
      <c r="E67" s="10" t="s">
        <v>33</v>
      </c>
      <c r="F67" s="10">
        <f>D61+L61</f>
        <v>1583</v>
      </c>
      <c r="I67" s="10" t="s">
        <v>34</v>
      </c>
      <c r="J67" s="11">
        <f>F68/F66</f>
        <v>0.58583976577056163</v>
      </c>
    </row>
    <row r="68" spans="3:10" x14ac:dyDescent="0.3">
      <c r="C68" s="6"/>
      <c r="E68" s="10" t="s">
        <v>34</v>
      </c>
      <c r="F68" s="10">
        <f>E61+M61</f>
        <v>2201</v>
      </c>
    </row>
  </sheetData>
  <mergeCells count="23">
    <mergeCell ref="A33:E33"/>
    <mergeCell ref="I33:M33"/>
    <mergeCell ref="A47:E47"/>
    <mergeCell ref="I47:M47"/>
    <mergeCell ref="A1:M1"/>
    <mergeCell ref="A3:E3"/>
    <mergeCell ref="I3:M3"/>
    <mergeCell ref="A5:E5"/>
    <mergeCell ref="I5:M5"/>
    <mergeCell ref="A19:E19"/>
    <mergeCell ref="I19:M19"/>
    <mergeCell ref="A17:B17"/>
    <mergeCell ref="I17:J17"/>
    <mergeCell ref="I31:J31"/>
    <mergeCell ref="A31:B31"/>
    <mergeCell ref="A45:B45"/>
    <mergeCell ref="E65:F65"/>
    <mergeCell ref="I65:J65"/>
    <mergeCell ref="A59:B59"/>
    <mergeCell ref="I45:J45"/>
    <mergeCell ref="I59:J59"/>
    <mergeCell ref="A61:B61"/>
    <mergeCell ref="I61:J6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FE9C9-90AB-44D2-A11F-ADFC9882355B}">
  <dimension ref="A1:M68"/>
  <sheetViews>
    <sheetView topLeftCell="A47" workbookViewId="0">
      <selection activeCell="I45" sqref="I45:M45"/>
    </sheetView>
  </sheetViews>
  <sheetFormatPr defaultRowHeight="14.4" x14ac:dyDescent="0.3"/>
  <cols>
    <col min="1" max="1" width="11.77734375" bestFit="1" customWidth="1"/>
    <col min="2" max="2" width="12" bestFit="1" customWidth="1"/>
    <col min="3" max="3" width="20.44140625" bestFit="1" customWidth="1"/>
    <col min="4" max="4" width="14.44140625" bestFit="1" customWidth="1"/>
    <col min="5" max="5" width="15.5546875" bestFit="1" customWidth="1"/>
    <col min="6" max="6" width="5" bestFit="1" customWidth="1"/>
    <col min="7" max="7" width="2.77734375" customWidth="1"/>
    <col min="8" max="8" width="3.109375" customWidth="1"/>
    <col min="9" max="9" width="11.77734375" bestFit="1" customWidth="1"/>
    <col min="10" max="10" width="12" bestFit="1" customWidth="1"/>
    <col min="11" max="11" width="20.44140625" bestFit="1" customWidth="1"/>
    <col min="12" max="12" width="14.44140625" bestFit="1" customWidth="1"/>
    <col min="13" max="13" width="15.5546875" bestFit="1" customWidth="1"/>
  </cols>
  <sheetData>
    <row r="1" spans="1:13" ht="18" x14ac:dyDescent="0.35">
      <c r="A1" s="28" t="s">
        <v>56</v>
      </c>
      <c r="B1" s="28"/>
      <c r="C1" s="28"/>
      <c r="D1" s="28"/>
      <c r="E1" s="28"/>
      <c r="F1" s="28"/>
      <c r="G1" s="28"/>
      <c r="H1" s="28"/>
      <c r="I1" s="28"/>
      <c r="J1" s="28"/>
      <c r="K1" s="28"/>
      <c r="L1" s="28"/>
      <c r="M1" s="28"/>
    </row>
    <row r="3" spans="1:13" ht="15.6" x14ac:dyDescent="0.3">
      <c r="A3" s="29" t="s">
        <v>0</v>
      </c>
      <c r="B3" s="29"/>
      <c r="C3" s="29"/>
      <c r="D3" s="29"/>
      <c r="E3" s="29"/>
      <c r="G3" s="1"/>
      <c r="I3" s="29" t="s">
        <v>1</v>
      </c>
      <c r="J3" s="29"/>
      <c r="K3" s="29"/>
      <c r="L3" s="29"/>
      <c r="M3" s="29"/>
    </row>
    <row r="4" spans="1:13" ht="15.6" x14ac:dyDescent="0.3">
      <c r="A4" s="2"/>
      <c r="B4" s="2"/>
      <c r="C4" s="2"/>
      <c r="D4" s="2"/>
      <c r="E4" s="2"/>
      <c r="G4" s="1"/>
      <c r="I4" s="2"/>
      <c r="J4" s="2"/>
      <c r="K4" s="2"/>
      <c r="L4" s="2"/>
      <c r="M4" s="2"/>
    </row>
    <row r="5" spans="1:13" x14ac:dyDescent="0.3">
      <c r="A5" s="26" t="s">
        <v>2</v>
      </c>
      <c r="B5" s="26"/>
      <c r="C5" s="26"/>
      <c r="D5" s="26"/>
      <c r="E5" s="26"/>
      <c r="G5" s="1"/>
      <c r="I5" s="26" t="s">
        <v>2</v>
      </c>
      <c r="J5" s="26"/>
      <c r="K5" s="26"/>
      <c r="L5" s="26"/>
      <c r="M5" s="26"/>
    </row>
    <row r="6" spans="1:13" x14ac:dyDescent="0.3">
      <c r="A6" s="3" t="s">
        <v>3</v>
      </c>
      <c r="B6" s="3" t="s">
        <v>4</v>
      </c>
      <c r="C6" s="3" t="s">
        <v>5</v>
      </c>
      <c r="D6" s="3" t="s">
        <v>6</v>
      </c>
      <c r="E6" s="3" t="s">
        <v>7</v>
      </c>
      <c r="G6" s="1"/>
      <c r="I6" s="3" t="s">
        <v>3</v>
      </c>
      <c r="J6" s="3" t="s">
        <v>4</v>
      </c>
      <c r="K6" s="3" t="s">
        <v>5</v>
      </c>
      <c r="L6" s="3" t="s">
        <v>6</v>
      </c>
      <c r="M6" s="3" t="s">
        <v>7</v>
      </c>
    </row>
    <row r="7" spans="1:13" x14ac:dyDescent="0.3">
      <c r="A7" s="4" t="s">
        <v>8</v>
      </c>
      <c r="B7" s="4">
        <v>-1424.99</v>
      </c>
      <c r="C7" s="4">
        <v>42</v>
      </c>
      <c r="D7" s="4">
        <v>17</v>
      </c>
      <c r="E7" s="4">
        <v>25</v>
      </c>
      <c r="G7" s="1"/>
      <c r="I7" s="4" t="s">
        <v>8</v>
      </c>
      <c r="J7" s="4">
        <v>357.59</v>
      </c>
      <c r="K7" s="4">
        <v>42</v>
      </c>
      <c r="L7" s="4">
        <v>22</v>
      </c>
      <c r="M7" s="4">
        <v>20</v>
      </c>
    </row>
    <row r="8" spans="1:13" x14ac:dyDescent="0.3">
      <c r="A8" s="4" t="s">
        <v>9</v>
      </c>
      <c r="B8" s="4">
        <v>-421.42</v>
      </c>
      <c r="C8" s="4">
        <v>44</v>
      </c>
      <c r="D8" s="4">
        <v>20</v>
      </c>
      <c r="E8" s="4">
        <v>24</v>
      </c>
      <c r="G8" s="1"/>
      <c r="I8" s="4" t="s">
        <v>9</v>
      </c>
      <c r="J8" s="4">
        <v>-781.03</v>
      </c>
      <c r="K8" s="4">
        <v>43</v>
      </c>
      <c r="L8" s="4">
        <v>19</v>
      </c>
      <c r="M8" s="4">
        <v>24</v>
      </c>
    </row>
    <row r="9" spans="1:13" x14ac:dyDescent="0.3">
      <c r="A9" s="4" t="s">
        <v>10</v>
      </c>
      <c r="B9" s="4">
        <v>-859.09</v>
      </c>
      <c r="C9" s="4">
        <v>37</v>
      </c>
      <c r="D9" s="4">
        <v>12</v>
      </c>
      <c r="E9" s="4">
        <v>25</v>
      </c>
      <c r="G9" s="1"/>
      <c r="I9" s="4" t="s">
        <v>10</v>
      </c>
      <c r="J9" s="4">
        <v>1028.79</v>
      </c>
      <c r="K9" s="4">
        <v>40</v>
      </c>
      <c r="L9" s="4">
        <v>21</v>
      </c>
      <c r="M9" s="4">
        <v>19</v>
      </c>
    </row>
    <row r="10" spans="1:13" x14ac:dyDescent="0.3">
      <c r="A10" s="4" t="s">
        <v>11</v>
      </c>
      <c r="B10" s="4">
        <v>1028.0899999999999</v>
      </c>
      <c r="C10" s="4">
        <v>45</v>
      </c>
      <c r="D10" s="4">
        <v>23</v>
      </c>
      <c r="E10" s="4">
        <v>22</v>
      </c>
      <c r="G10" s="1"/>
      <c r="I10" s="4" t="s">
        <v>11</v>
      </c>
      <c r="J10" s="4">
        <v>1012.08</v>
      </c>
      <c r="K10" s="4">
        <v>44</v>
      </c>
      <c r="L10" s="4">
        <v>20</v>
      </c>
      <c r="M10" s="4">
        <v>24</v>
      </c>
    </row>
    <row r="11" spans="1:13" x14ac:dyDescent="0.3">
      <c r="A11" s="4" t="s">
        <v>12</v>
      </c>
      <c r="B11" s="4">
        <v>636.35</v>
      </c>
      <c r="C11" s="4">
        <v>42</v>
      </c>
      <c r="D11" s="4">
        <v>18</v>
      </c>
      <c r="E11" s="4">
        <v>24</v>
      </c>
      <c r="G11" s="1"/>
      <c r="I11" s="4" t="s">
        <v>12</v>
      </c>
      <c r="J11" s="4">
        <v>-1713.55</v>
      </c>
      <c r="K11" s="4">
        <v>39</v>
      </c>
      <c r="L11" s="4">
        <v>12</v>
      </c>
      <c r="M11" s="4">
        <v>27</v>
      </c>
    </row>
    <row r="12" spans="1:13" x14ac:dyDescent="0.3">
      <c r="A12" s="4" t="s">
        <v>13</v>
      </c>
      <c r="B12" s="4">
        <v>-181.22</v>
      </c>
      <c r="C12" s="4">
        <v>36</v>
      </c>
      <c r="D12" s="4">
        <v>12</v>
      </c>
      <c r="E12" s="4">
        <v>24</v>
      </c>
      <c r="G12" s="1"/>
      <c r="I12" s="4" t="s">
        <v>13</v>
      </c>
      <c r="J12" s="4">
        <v>746.01</v>
      </c>
      <c r="K12" s="4">
        <v>38</v>
      </c>
      <c r="L12" s="4">
        <v>23</v>
      </c>
      <c r="M12" s="4">
        <v>15</v>
      </c>
    </row>
    <row r="13" spans="1:13" x14ac:dyDescent="0.3">
      <c r="A13" s="4" t="s">
        <v>14</v>
      </c>
      <c r="B13" s="4">
        <v>-3717.64</v>
      </c>
      <c r="C13" s="4">
        <v>47</v>
      </c>
      <c r="D13" s="4">
        <v>13</v>
      </c>
      <c r="E13" s="4">
        <v>34</v>
      </c>
      <c r="G13" s="1"/>
      <c r="I13" s="4" t="s">
        <v>14</v>
      </c>
      <c r="J13" s="4">
        <v>311.08999999999997</v>
      </c>
      <c r="K13" s="4">
        <v>46</v>
      </c>
      <c r="L13" s="4">
        <v>20</v>
      </c>
      <c r="M13" s="4">
        <v>26</v>
      </c>
    </row>
    <row r="14" spans="1:13" x14ac:dyDescent="0.3">
      <c r="A14" s="4" t="s">
        <v>15</v>
      </c>
      <c r="B14" s="4">
        <v>183.64</v>
      </c>
      <c r="C14" s="4">
        <v>44</v>
      </c>
      <c r="D14" s="4">
        <v>19</v>
      </c>
      <c r="E14" s="4">
        <v>25</v>
      </c>
      <c r="G14" s="1"/>
      <c r="I14" s="4" t="s">
        <v>15</v>
      </c>
      <c r="J14" s="4">
        <v>2067.4299999999998</v>
      </c>
      <c r="K14" s="4">
        <v>45</v>
      </c>
      <c r="L14" s="4">
        <v>23</v>
      </c>
      <c r="M14" s="4">
        <v>22</v>
      </c>
    </row>
    <row r="15" spans="1:13" x14ac:dyDescent="0.3">
      <c r="A15" s="4" t="s">
        <v>16</v>
      </c>
      <c r="B15" s="4">
        <v>-2206.8000000000002</v>
      </c>
      <c r="C15" s="4">
        <v>41</v>
      </c>
      <c r="D15" s="4">
        <v>14</v>
      </c>
      <c r="E15" s="4">
        <v>27</v>
      </c>
      <c r="G15" s="1"/>
      <c r="I15" s="4" t="s">
        <v>16</v>
      </c>
      <c r="J15" s="4">
        <v>2344.6</v>
      </c>
      <c r="K15" s="4">
        <v>43</v>
      </c>
      <c r="L15" s="4">
        <v>25</v>
      </c>
      <c r="M15" s="4">
        <v>18</v>
      </c>
    </row>
    <row r="16" spans="1:13" x14ac:dyDescent="0.3">
      <c r="A16" s="4" t="s">
        <v>17</v>
      </c>
      <c r="B16" s="4">
        <v>2969.08</v>
      </c>
      <c r="C16" s="4">
        <v>44</v>
      </c>
      <c r="D16" s="4">
        <v>23</v>
      </c>
      <c r="E16" s="4">
        <v>21</v>
      </c>
      <c r="G16" s="1"/>
      <c r="I16" s="4" t="s">
        <v>17</v>
      </c>
      <c r="J16" s="4">
        <v>315.76</v>
      </c>
      <c r="K16" s="4">
        <v>43</v>
      </c>
      <c r="L16" s="4">
        <v>17</v>
      </c>
      <c r="M16" s="4">
        <v>26</v>
      </c>
    </row>
    <row r="17" spans="1:13" x14ac:dyDescent="0.3">
      <c r="A17" s="24" t="s">
        <v>23</v>
      </c>
      <c r="B17" s="24"/>
      <c r="C17" s="7">
        <f>SUM(C7:C16)</f>
        <v>422</v>
      </c>
      <c r="D17" s="7">
        <f>SUM(D7:D16)</f>
        <v>171</v>
      </c>
      <c r="E17" s="7">
        <f>SUM(E7:E16)</f>
        <v>251</v>
      </c>
      <c r="G17" s="1"/>
      <c r="I17" s="24" t="s">
        <v>23</v>
      </c>
      <c r="J17" s="24"/>
      <c r="K17" s="7">
        <f>SUM(K7:K16)</f>
        <v>423</v>
      </c>
      <c r="L17" s="7">
        <f>SUM(L7:L16)</f>
        <v>202</v>
      </c>
      <c r="M17" s="7">
        <f>SUM(M7:M16)</f>
        <v>221</v>
      </c>
    </row>
    <row r="18" spans="1:13" x14ac:dyDescent="0.3">
      <c r="G18" s="1"/>
    </row>
    <row r="19" spans="1:13" x14ac:dyDescent="0.3">
      <c r="A19" s="26" t="s">
        <v>18</v>
      </c>
      <c r="B19" s="26"/>
      <c r="C19" s="26"/>
      <c r="D19" s="26"/>
      <c r="E19" s="26"/>
      <c r="G19" s="1"/>
      <c r="I19" s="26" t="s">
        <v>18</v>
      </c>
      <c r="J19" s="26"/>
      <c r="K19" s="26"/>
      <c r="L19" s="26"/>
      <c r="M19" s="26"/>
    </row>
    <row r="20" spans="1:13" x14ac:dyDescent="0.3">
      <c r="A20" s="3" t="s">
        <v>3</v>
      </c>
      <c r="B20" s="3" t="s">
        <v>4</v>
      </c>
      <c r="C20" s="3" t="s">
        <v>5</v>
      </c>
      <c r="D20" s="3" t="s">
        <v>6</v>
      </c>
      <c r="E20" s="3" t="s">
        <v>7</v>
      </c>
      <c r="G20" s="1"/>
      <c r="I20" s="3" t="s">
        <v>3</v>
      </c>
      <c r="J20" s="3" t="s">
        <v>4</v>
      </c>
      <c r="K20" s="3" t="s">
        <v>5</v>
      </c>
      <c r="L20" s="3" t="s">
        <v>6</v>
      </c>
      <c r="M20" s="3" t="s">
        <v>7</v>
      </c>
    </row>
    <row r="21" spans="1:13" x14ac:dyDescent="0.3">
      <c r="A21" s="4" t="s">
        <v>8</v>
      </c>
      <c r="B21" s="4">
        <v>107.99</v>
      </c>
      <c r="C21" s="4">
        <v>47</v>
      </c>
      <c r="D21" s="4">
        <v>22</v>
      </c>
      <c r="E21" s="4">
        <v>25</v>
      </c>
      <c r="G21" s="1"/>
      <c r="I21" s="4" t="s">
        <v>8</v>
      </c>
      <c r="J21" s="4">
        <v>-895.74</v>
      </c>
      <c r="K21" s="4">
        <v>48</v>
      </c>
      <c r="L21" s="4">
        <v>20</v>
      </c>
      <c r="M21" s="4">
        <v>28</v>
      </c>
    </row>
    <row r="22" spans="1:13" x14ac:dyDescent="0.3">
      <c r="A22" s="4" t="s">
        <v>9</v>
      </c>
      <c r="B22" s="4">
        <v>-1113.9100000000001</v>
      </c>
      <c r="C22" s="4">
        <v>42</v>
      </c>
      <c r="D22" s="4">
        <v>14</v>
      </c>
      <c r="E22" s="4">
        <v>28</v>
      </c>
      <c r="G22" s="1"/>
      <c r="I22" s="4" t="s">
        <v>9</v>
      </c>
      <c r="J22" s="4">
        <v>436.61</v>
      </c>
      <c r="K22" s="4">
        <v>42</v>
      </c>
      <c r="L22" s="4">
        <v>23</v>
      </c>
      <c r="M22" s="4">
        <v>19</v>
      </c>
    </row>
    <row r="23" spans="1:13" x14ac:dyDescent="0.3">
      <c r="A23" s="4" t="s">
        <v>10</v>
      </c>
      <c r="B23" s="4">
        <v>211.34</v>
      </c>
      <c r="C23" s="4">
        <v>42</v>
      </c>
      <c r="D23" s="4">
        <v>22</v>
      </c>
      <c r="E23" s="4">
        <v>20</v>
      </c>
      <c r="G23" s="1"/>
      <c r="I23" s="4" t="s">
        <v>10</v>
      </c>
      <c r="J23" s="4">
        <v>-35.1</v>
      </c>
      <c r="K23" s="4">
        <v>40</v>
      </c>
      <c r="L23" s="4">
        <v>16</v>
      </c>
      <c r="M23" s="4">
        <v>24</v>
      </c>
    </row>
    <row r="24" spans="1:13" x14ac:dyDescent="0.3">
      <c r="A24" s="4" t="s">
        <v>11</v>
      </c>
      <c r="B24" s="4">
        <v>-216.00200000000001</v>
      </c>
      <c r="C24" s="4">
        <v>43</v>
      </c>
      <c r="D24" s="4">
        <v>20</v>
      </c>
      <c r="E24" s="4">
        <v>23</v>
      </c>
      <c r="G24" s="1"/>
      <c r="I24" s="4" t="s">
        <v>11</v>
      </c>
      <c r="J24" s="4">
        <v>701.05</v>
      </c>
      <c r="K24" s="4">
        <v>47</v>
      </c>
      <c r="L24" s="4">
        <v>22</v>
      </c>
      <c r="M24" s="4">
        <v>25</v>
      </c>
    </row>
    <row r="25" spans="1:13" x14ac:dyDescent="0.3">
      <c r="A25" s="4" t="s">
        <v>12</v>
      </c>
      <c r="B25" s="4">
        <v>581.45000000000005</v>
      </c>
      <c r="C25" s="4">
        <v>46</v>
      </c>
      <c r="D25" s="4">
        <v>20</v>
      </c>
      <c r="E25" s="4">
        <v>26</v>
      </c>
      <c r="G25" s="1"/>
      <c r="I25" s="4" t="s">
        <v>12</v>
      </c>
      <c r="J25" s="4">
        <v>-875.3</v>
      </c>
      <c r="K25" s="4">
        <v>45</v>
      </c>
      <c r="L25" s="4">
        <v>17</v>
      </c>
      <c r="M25" s="4">
        <v>28</v>
      </c>
    </row>
    <row r="26" spans="1:13" x14ac:dyDescent="0.3">
      <c r="A26" s="4" t="s">
        <v>13</v>
      </c>
      <c r="B26" s="4">
        <v>-1275.81</v>
      </c>
      <c r="C26" s="4">
        <v>48</v>
      </c>
      <c r="D26" s="4">
        <v>18</v>
      </c>
      <c r="E26" s="4">
        <v>30</v>
      </c>
      <c r="G26" s="1"/>
      <c r="I26" s="4" t="s">
        <v>13</v>
      </c>
      <c r="J26" s="4">
        <v>261.07</v>
      </c>
      <c r="K26" s="4">
        <v>49</v>
      </c>
      <c r="L26" s="4">
        <v>22</v>
      </c>
      <c r="M26" s="4">
        <v>27</v>
      </c>
    </row>
    <row r="27" spans="1:13" x14ac:dyDescent="0.3">
      <c r="A27" s="4" t="s">
        <v>14</v>
      </c>
      <c r="B27" s="4">
        <v>-707.64</v>
      </c>
      <c r="C27" s="4">
        <v>47</v>
      </c>
      <c r="D27" s="4">
        <v>16</v>
      </c>
      <c r="E27" s="4">
        <v>31</v>
      </c>
      <c r="G27" s="1"/>
      <c r="I27" s="4" t="s">
        <v>14</v>
      </c>
      <c r="J27" s="4">
        <v>750.69</v>
      </c>
      <c r="K27" s="4">
        <v>44</v>
      </c>
      <c r="L27" s="4">
        <v>19</v>
      </c>
      <c r="M27" s="4">
        <v>25</v>
      </c>
    </row>
    <row r="28" spans="1:13" x14ac:dyDescent="0.3">
      <c r="A28" s="4" t="s">
        <v>15</v>
      </c>
      <c r="B28" s="4">
        <v>-2904.82</v>
      </c>
      <c r="C28" s="4">
        <v>51</v>
      </c>
      <c r="D28" s="4">
        <v>13</v>
      </c>
      <c r="E28" s="4">
        <v>38</v>
      </c>
      <c r="G28" s="1"/>
      <c r="I28" s="4" t="s">
        <v>15</v>
      </c>
      <c r="J28" s="4">
        <v>1244.8499999999999</v>
      </c>
      <c r="K28" s="4">
        <v>43</v>
      </c>
      <c r="L28" s="4">
        <v>20</v>
      </c>
      <c r="M28" s="4">
        <v>23</v>
      </c>
    </row>
    <row r="29" spans="1:13" x14ac:dyDescent="0.3">
      <c r="A29" s="4" t="s">
        <v>16</v>
      </c>
      <c r="B29" s="4">
        <v>-70.319999999999993</v>
      </c>
      <c r="C29" s="4">
        <v>49</v>
      </c>
      <c r="D29" s="4">
        <v>18</v>
      </c>
      <c r="E29" s="4">
        <v>31</v>
      </c>
      <c r="G29" s="1"/>
      <c r="I29" s="4" t="s">
        <v>16</v>
      </c>
      <c r="J29" s="4">
        <v>-531.25</v>
      </c>
      <c r="K29" s="4">
        <v>52</v>
      </c>
      <c r="L29" s="4">
        <v>24</v>
      </c>
      <c r="M29" s="4">
        <v>28</v>
      </c>
    </row>
    <row r="30" spans="1:13" x14ac:dyDescent="0.3">
      <c r="A30" s="4" t="s">
        <v>17</v>
      </c>
      <c r="B30" s="4">
        <v>-1712.54</v>
      </c>
      <c r="C30" s="4">
        <v>46</v>
      </c>
      <c r="D30" s="4">
        <v>13</v>
      </c>
      <c r="E30" s="4">
        <v>33</v>
      </c>
      <c r="G30" s="1"/>
      <c r="I30" s="4" t="s">
        <v>17</v>
      </c>
      <c r="J30" s="4">
        <v>2630.75</v>
      </c>
      <c r="K30" s="4">
        <v>46</v>
      </c>
      <c r="L30" s="4">
        <v>26</v>
      </c>
      <c r="M30" s="4">
        <v>20</v>
      </c>
    </row>
    <row r="31" spans="1:13" x14ac:dyDescent="0.3">
      <c r="A31" s="24" t="s">
        <v>23</v>
      </c>
      <c r="B31" s="24"/>
      <c r="C31" s="7">
        <f>SUM(C21:C30)</f>
        <v>461</v>
      </c>
      <c r="D31" s="7">
        <f>SUM(D21:D30)</f>
        <v>176</v>
      </c>
      <c r="E31" s="7">
        <f>SUM(E21:E30)</f>
        <v>285</v>
      </c>
      <c r="G31" s="1"/>
      <c r="I31" s="24" t="s">
        <v>23</v>
      </c>
      <c r="J31" s="24"/>
      <c r="K31" s="7">
        <f>SUM(K21:K30)</f>
        <v>456</v>
      </c>
      <c r="L31" s="7">
        <f>SUM(L21:L30)</f>
        <v>209</v>
      </c>
      <c r="M31" s="7">
        <f>SUM(M21:M30)</f>
        <v>247</v>
      </c>
    </row>
    <row r="32" spans="1:13" x14ac:dyDescent="0.3">
      <c r="G32" s="1"/>
    </row>
    <row r="33" spans="1:13" x14ac:dyDescent="0.3">
      <c r="A33" s="26" t="s">
        <v>19</v>
      </c>
      <c r="B33" s="26"/>
      <c r="C33" s="26"/>
      <c r="D33" s="26"/>
      <c r="E33" s="26"/>
      <c r="G33" s="1"/>
      <c r="I33" s="27" t="s">
        <v>19</v>
      </c>
      <c r="J33" s="27"/>
      <c r="K33" s="27"/>
      <c r="L33" s="27"/>
      <c r="M33" s="27"/>
    </row>
    <row r="34" spans="1:13" x14ac:dyDescent="0.3">
      <c r="A34" s="3" t="s">
        <v>3</v>
      </c>
      <c r="B34" s="3" t="s">
        <v>4</v>
      </c>
      <c r="C34" s="3" t="s">
        <v>5</v>
      </c>
      <c r="D34" s="3" t="s">
        <v>6</v>
      </c>
      <c r="E34" s="3" t="s">
        <v>7</v>
      </c>
      <c r="G34" s="1"/>
      <c r="I34" s="3" t="s">
        <v>3</v>
      </c>
      <c r="J34" s="3" t="s">
        <v>4</v>
      </c>
      <c r="K34" s="3" t="s">
        <v>5</v>
      </c>
      <c r="L34" s="3" t="s">
        <v>6</v>
      </c>
      <c r="M34" s="3" t="s">
        <v>7</v>
      </c>
    </row>
    <row r="35" spans="1:13" x14ac:dyDescent="0.3">
      <c r="A35" s="4" t="s">
        <v>8</v>
      </c>
      <c r="B35" s="4">
        <v>265.2</v>
      </c>
      <c r="C35" s="4">
        <v>42</v>
      </c>
      <c r="D35" s="4">
        <v>20</v>
      </c>
      <c r="E35" s="4">
        <v>22</v>
      </c>
      <c r="G35" s="1"/>
      <c r="I35" s="4" t="s">
        <v>8</v>
      </c>
      <c r="J35" s="4">
        <v>-879.6</v>
      </c>
      <c r="K35" s="4">
        <v>42</v>
      </c>
      <c r="L35" s="4">
        <v>15</v>
      </c>
      <c r="M35" s="4">
        <v>27</v>
      </c>
    </row>
    <row r="36" spans="1:13" x14ac:dyDescent="0.3">
      <c r="A36" s="4" t="s">
        <v>9</v>
      </c>
      <c r="B36" s="4">
        <v>664.96</v>
      </c>
      <c r="C36" s="4">
        <v>39</v>
      </c>
      <c r="D36" s="4">
        <v>22</v>
      </c>
      <c r="E36" s="4">
        <v>17</v>
      </c>
      <c r="G36" s="1"/>
      <c r="I36" s="4" t="s">
        <v>9</v>
      </c>
      <c r="J36" s="4">
        <v>171.76</v>
      </c>
      <c r="K36" s="4">
        <v>37</v>
      </c>
      <c r="L36" s="4">
        <v>16</v>
      </c>
      <c r="M36" s="4">
        <v>21</v>
      </c>
    </row>
    <row r="37" spans="1:13" x14ac:dyDescent="0.3">
      <c r="A37" s="4" t="s">
        <v>10</v>
      </c>
      <c r="B37" s="4">
        <v>149.6</v>
      </c>
      <c r="C37" s="4">
        <v>38</v>
      </c>
      <c r="D37" s="4">
        <v>20</v>
      </c>
      <c r="E37" s="4">
        <v>18</v>
      </c>
      <c r="G37" s="1"/>
      <c r="I37" s="4" t="s">
        <v>10</v>
      </c>
      <c r="J37" s="4">
        <v>1028.69</v>
      </c>
      <c r="K37" s="4">
        <v>42</v>
      </c>
      <c r="L37" s="4">
        <v>19</v>
      </c>
      <c r="M37" s="4">
        <v>23</v>
      </c>
    </row>
    <row r="38" spans="1:13" x14ac:dyDescent="0.3">
      <c r="A38" s="4" t="s">
        <v>11</v>
      </c>
      <c r="B38" s="4">
        <v>718.57</v>
      </c>
      <c r="C38" s="4">
        <v>45</v>
      </c>
      <c r="D38" s="4">
        <v>22</v>
      </c>
      <c r="E38" s="4">
        <v>23</v>
      </c>
      <c r="G38" s="1"/>
      <c r="I38" s="4" t="s">
        <v>11</v>
      </c>
      <c r="J38" s="4">
        <v>-1073.28</v>
      </c>
      <c r="K38" s="4">
        <v>51</v>
      </c>
      <c r="L38" s="4">
        <v>24</v>
      </c>
      <c r="M38" s="4">
        <v>27</v>
      </c>
    </row>
    <row r="39" spans="1:13" x14ac:dyDescent="0.3">
      <c r="A39" s="4" t="s">
        <v>12</v>
      </c>
      <c r="B39" s="4">
        <v>-767.59</v>
      </c>
      <c r="C39" s="4">
        <v>43</v>
      </c>
      <c r="D39" s="4">
        <v>19</v>
      </c>
      <c r="E39" s="4">
        <v>24</v>
      </c>
      <c r="G39" s="1"/>
      <c r="I39" s="4" t="s">
        <v>12</v>
      </c>
      <c r="J39" s="4">
        <v>-97.05</v>
      </c>
      <c r="K39" s="4">
        <v>41</v>
      </c>
      <c r="L39" s="4">
        <v>21</v>
      </c>
      <c r="M39" s="4">
        <v>20</v>
      </c>
    </row>
    <row r="40" spans="1:13" x14ac:dyDescent="0.3">
      <c r="A40" s="4" t="s">
        <v>13</v>
      </c>
      <c r="B40" s="4">
        <v>-809.81</v>
      </c>
      <c r="C40" s="4">
        <v>37</v>
      </c>
      <c r="D40" s="4">
        <v>17</v>
      </c>
      <c r="E40" s="4">
        <v>20</v>
      </c>
      <c r="G40" s="1"/>
      <c r="I40" s="4" t="s">
        <v>13</v>
      </c>
      <c r="J40" s="4">
        <v>1854.38</v>
      </c>
      <c r="K40" s="4">
        <v>35</v>
      </c>
      <c r="L40" s="4">
        <v>28</v>
      </c>
      <c r="M40" s="4">
        <v>7</v>
      </c>
    </row>
    <row r="41" spans="1:13" x14ac:dyDescent="0.3">
      <c r="A41" s="4" t="s">
        <v>14</v>
      </c>
      <c r="B41" s="4">
        <v>210.3</v>
      </c>
      <c r="C41" s="4">
        <v>41</v>
      </c>
      <c r="D41" s="4">
        <v>19</v>
      </c>
      <c r="E41" s="4">
        <v>22</v>
      </c>
      <c r="G41" s="1"/>
      <c r="I41" s="4" t="s">
        <v>14</v>
      </c>
      <c r="J41" s="4">
        <v>2205.44</v>
      </c>
      <c r="K41" s="4">
        <v>41</v>
      </c>
      <c r="L41" s="4">
        <v>25</v>
      </c>
      <c r="M41" s="4">
        <v>16</v>
      </c>
    </row>
    <row r="42" spans="1:13" x14ac:dyDescent="0.3">
      <c r="A42" s="4" t="s">
        <v>15</v>
      </c>
      <c r="B42" s="4">
        <v>769.35</v>
      </c>
      <c r="C42" s="4">
        <v>47</v>
      </c>
      <c r="D42" s="4">
        <v>21</v>
      </c>
      <c r="E42" s="4">
        <v>26</v>
      </c>
      <c r="G42" s="1"/>
      <c r="I42" s="4" t="s">
        <v>15</v>
      </c>
      <c r="J42" s="4">
        <v>1980.55</v>
      </c>
      <c r="K42" s="4">
        <v>45</v>
      </c>
      <c r="L42" s="4">
        <v>21</v>
      </c>
      <c r="M42" s="4">
        <v>24</v>
      </c>
    </row>
    <row r="43" spans="1:13" x14ac:dyDescent="0.3">
      <c r="A43" s="4" t="s">
        <v>16</v>
      </c>
      <c r="B43" s="4">
        <v>-1331.32</v>
      </c>
      <c r="C43" s="4">
        <v>38</v>
      </c>
      <c r="D43" s="4">
        <v>12</v>
      </c>
      <c r="E43" s="4">
        <v>26</v>
      </c>
      <c r="G43" s="1"/>
      <c r="I43" s="4" t="s">
        <v>16</v>
      </c>
      <c r="J43" s="4">
        <v>2868.84</v>
      </c>
      <c r="K43" s="4">
        <v>37</v>
      </c>
      <c r="L43" s="4">
        <v>26</v>
      </c>
      <c r="M43" s="4">
        <v>11</v>
      </c>
    </row>
    <row r="44" spans="1:13" x14ac:dyDescent="0.3">
      <c r="A44" s="4" t="s">
        <v>17</v>
      </c>
      <c r="B44" s="4">
        <v>760.26</v>
      </c>
      <c r="C44" s="4">
        <v>40</v>
      </c>
      <c r="D44" s="4">
        <v>18</v>
      </c>
      <c r="E44" s="4">
        <v>22</v>
      </c>
      <c r="G44" s="1"/>
      <c r="I44" s="4" t="s">
        <v>17</v>
      </c>
      <c r="J44" s="4">
        <v>729.53</v>
      </c>
      <c r="K44" s="4">
        <v>45</v>
      </c>
      <c r="L44" s="4">
        <v>24</v>
      </c>
      <c r="M44" s="4">
        <v>21</v>
      </c>
    </row>
    <row r="45" spans="1:13" x14ac:dyDescent="0.3">
      <c r="A45" s="24" t="s">
        <v>23</v>
      </c>
      <c r="B45" s="24"/>
      <c r="C45" s="7">
        <f>SUM(C35:C44)</f>
        <v>410</v>
      </c>
      <c r="D45" s="7">
        <f>SUM(D35:D44)</f>
        <v>190</v>
      </c>
      <c r="E45" s="7">
        <f>SUM(E35:E44)</f>
        <v>220</v>
      </c>
      <c r="G45" s="1"/>
      <c r="I45" s="24" t="s">
        <v>23</v>
      </c>
      <c r="J45" s="24"/>
      <c r="K45" s="7">
        <f>SUM(K35:K44)</f>
        <v>416</v>
      </c>
      <c r="L45" s="7">
        <f>SUM(L35:L44)</f>
        <v>219</v>
      </c>
      <c r="M45" s="7">
        <f>SUM(M35:M44)</f>
        <v>197</v>
      </c>
    </row>
    <row r="46" spans="1:13" x14ac:dyDescent="0.3">
      <c r="G46" s="1"/>
    </row>
    <row r="47" spans="1:13" x14ac:dyDescent="0.3">
      <c r="A47" s="26" t="s">
        <v>20</v>
      </c>
      <c r="B47" s="26"/>
      <c r="C47" s="26"/>
      <c r="D47" s="26"/>
      <c r="E47" s="26"/>
      <c r="G47" s="1"/>
      <c r="I47" s="26" t="s">
        <v>20</v>
      </c>
      <c r="J47" s="26"/>
      <c r="K47" s="26"/>
      <c r="L47" s="26"/>
      <c r="M47" s="26"/>
    </row>
    <row r="48" spans="1:13" x14ac:dyDescent="0.3">
      <c r="A48" s="3" t="s">
        <v>3</v>
      </c>
      <c r="B48" s="3" t="s">
        <v>4</v>
      </c>
      <c r="C48" s="3" t="s">
        <v>5</v>
      </c>
      <c r="D48" s="3" t="s">
        <v>6</v>
      </c>
      <c r="E48" s="3" t="s">
        <v>7</v>
      </c>
      <c r="G48" s="1"/>
      <c r="I48" s="3" t="s">
        <v>3</v>
      </c>
      <c r="J48" s="3" t="s">
        <v>4</v>
      </c>
      <c r="K48" s="3" t="s">
        <v>5</v>
      </c>
      <c r="L48" s="3" t="s">
        <v>6</v>
      </c>
      <c r="M48" s="3" t="s">
        <v>7</v>
      </c>
    </row>
    <row r="49" spans="1:13" x14ac:dyDescent="0.3">
      <c r="A49" s="4" t="s">
        <v>8</v>
      </c>
      <c r="B49" s="4">
        <v>-457.04</v>
      </c>
      <c r="C49" s="4">
        <v>44</v>
      </c>
      <c r="D49" s="4">
        <v>20</v>
      </c>
      <c r="E49" s="4">
        <v>24</v>
      </c>
      <c r="G49" s="1"/>
      <c r="I49" s="4" t="s">
        <v>8</v>
      </c>
      <c r="J49" s="4">
        <v>156.59</v>
      </c>
      <c r="K49" s="4">
        <v>43</v>
      </c>
      <c r="L49" s="4">
        <v>19</v>
      </c>
      <c r="M49" s="4">
        <v>24</v>
      </c>
    </row>
    <row r="50" spans="1:13" x14ac:dyDescent="0.3">
      <c r="A50" s="4" t="s">
        <v>9</v>
      </c>
      <c r="B50" s="4">
        <v>1026.0999999999999</v>
      </c>
      <c r="C50" s="4">
        <v>39</v>
      </c>
      <c r="D50" s="4">
        <v>20</v>
      </c>
      <c r="E50" s="4">
        <v>19</v>
      </c>
      <c r="G50" s="1"/>
      <c r="I50" s="4" t="s">
        <v>9</v>
      </c>
      <c r="J50" s="4">
        <v>873.53</v>
      </c>
      <c r="K50" s="4">
        <v>38</v>
      </c>
      <c r="L50" s="4">
        <v>16</v>
      </c>
      <c r="M50" s="4">
        <v>22</v>
      </c>
    </row>
    <row r="51" spans="1:13" x14ac:dyDescent="0.3">
      <c r="A51" s="4" t="s">
        <v>10</v>
      </c>
      <c r="B51" s="4">
        <v>1542</v>
      </c>
      <c r="C51" s="4">
        <v>36</v>
      </c>
      <c r="D51" s="4">
        <v>18</v>
      </c>
      <c r="E51" s="4">
        <v>18</v>
      </c>
      <c r="G51" s="1"/>
      <c r="I51" s="4" t="s">
        <v>10</v>
      </c>
      <c r="J51" s="4">
        <v>-681.35</v>
      </c>
      <c r="K51" s="4">
        <v>37</v>
      </c>
      <c r="L51" s="4">
        <v>15</v>
      </c>
      <c r="M51" s="4">
        <v>22</v>
      </c>
    </row>
    <row r="52" spans="1:13" x14ac:dyDescent="0.3">
      <c r="A52" s="4" t="s">
        <v>11</v>
      </c>
      <c r="B52" s="4">
        <v>220.57</v>
      </c>
      <c r="C52" s="4">
        <v>38</v>
      </c>
      <c r="D52" s="4">
        <v>17</v>
      </c>
      <c r="E52" s="4">
        <v>21</v>
      </c>
      <c r="G52" s="1"/>
      <c r="I52" s="4" t="s">
        <v>11</v>
      </c>
      <c r="J52" s="4">
        <v>1588.67</v>
      </c>
      <c r="K52" s="4">
        <v>43</v>
      </c>
      <c r="L52" s="4">
        <v>21</v>
      </c>
      <c r="M52" s="4">
        <v>22</v>
      </c>
    </row>
    <row r="53" spans="1:13" x14ac:dyDescent="0.3">
      <c r="A53" s="4" t="s">
        <v>12</v>
      </c>
      <c r="B53" s="4">
        <v>2981.6</v>
      </c>
      <c r="C53" s="4">
        <v>36</v>
      </c>
      <c r="D53" s="4">
        <v>21</v>
      </c>
      <c r="E53" s="4">
        <v>15</v>
      </c>
      <c r="G53" s="1"/>
      <c r="I53" s="4" t="s">
        <v>12</v>
      </c>
      <c r="J53" s="4">
        <v>806.79</v>
      </c>
      <c r="K53" s="4">
        <v>38</v>
      </c>
      <c r="L53" s="4">
        <v>17</v>
      </c>
      <c r="M53" s="4">
        <v>21</v>
      </c>
    </row>
    <row r="54" spans="1:13" x14ac:dyDescent="0.3">
      <c r="A54" s="4" t="s">
        <v>13</v>
      </c>
      <c r="B54" s="4">
        <v>380.38</v>
      </c>
      <c r="C54" s="4">
        <v>37</v>
      </c>
      <c r="D54" s="4">
        <v>20</v>
      </c>
      <c r="E54" s="4">
        <v>17</v>
      </c>
      <c r="G54" s="1"/>
      <c r="I54" s="4" t="s">
        <v>13</v>
      </c>
      <c r="J54" s="4">
        <v>410.35</v>
      </c>
      <c r="K54" s="4">
        <v>35</v>
      </c>
      <c r="L54" s="4">
        <v>17</v>
      </c>
      <c r="M54" s="4">
        <v>18</v>
      </c>
    </row>
    <row r="55" spans="1:13" x14ac:dyDescent="0.3">
      <c r="A55" s="4" t="s">
        <v>14</v>
      </c>
      <c r="B55" s="4">
        <v>1533.9</v>
      </c>
      <c r="C55" s="4">
        <v>43</v>
      </c>
      <c r="D55" s="4">
        <v>21</v>
      </c>
      <c r="E55" s="4">
        <v>22</v>
      </c>
      <c r="G55" s="1"/>
      <c r="I55" s="4" t="s">
        <v>14</v>
      </c>
      <c r="J55" s="4">
        <v>909.69</v>
      </c>
      <c r="K55" s="4">
        <v>41</v>
      </c>
      <c r="L55" s="4">
        <v>20</v>
      </c>
      <c r="M55" s="4">
        <v>21</v>
      </c>
    </row>
    <row r="56" spans="1:13" x14ac:dyDescent="0.3">
      <c r="A56" s="4" t="s">
        <v>15</v>
      </c>
      <c r="B56" s="4">
        <v>1200.17</v>
      </c>
      <c r="C56" s="4">
        <v>43</v>
      </c>
      <c r="D56" s="4">
        <v>20</v>
      </c>
      <c r="E56" s="4">
        <v>23</v>
      </c>
      <c r="G56" s="1"/>
      <c r="I56" s="4" t="s">
        <v>15</v>
      </c>
      <c r="J56" s="4">
        <v>934.49</v>
      </c>
      <c r="K56" s="4">
        <v>39</v>
      </c>
      <c r="L56" s="4">
        <v>17</v>
      </c>
      <c r="M56" s="4">
        <v>22</v>
      </c>
    </row>
    <row r="57" spans="1:13" x14ac:dyDescent="0.3">
      <c r="A57" s="4" t="s">
        <v>16</v>
      </c>
      <c r="B57" s="4">
        <v>2126.92</v>
      </c>
      <c r="C57" s="4">
        <v>36</v>
      </c>
      <c r="D57" s="4">
        <v>20</v>
      </c>
      <c r="E57" s="4">
        <v>16</v>
      </c>
      <c r="G57" s="1"/>
      <c r="I57" s="4" t="s">
        <v>16</v>
      </c>
      <c r="J57" s="4">
        <v>1689.39</v>
      </c>
      <c r="K57" s="4">
        <v>36</v>
      </c>
      <c r="L57" s="4">
        <v>19</v>
      </c>
      <c r="M57" s="4">
        <v>17</v>
      </c>
    </row>
    <row r="58" spans="1:13" x14ac:dyDescent="0.3">
      <c r="A58" s="4" t="s">
        <v>17</v>
      </c>
      <c r="B58" s="4">
        <v>672.66</v>
      </c>
      <c r="C58" s="4">
        <v>33</v>
      </c>
      <c r="D58" s="4">
        <v>15</v>
      </c>
      <c r="E58" s="4">
        <v>18</v>
      </c>
      <c r="G58" s="1"/>
      <c r="I58" s="4" t="s">
        <v>17</v>
      </c>
      <c r="J58" s="4">
        <v>221.49</v>
      </c>
      <c r="K58" s="4">
        <v>35</v>
      </c>
      <c r="L58" s="4">
        <v>14</v>
      </c>
      <c r="M58" s="4">
        <v>21</v>
      </c>
    </row>
    <row r="59" spans="1:13" x14ac:dyDescent="0.3">
      <c r="A59" s="24" t="s">
        <v>23</v>
      </c>
      <c r="B59" s="24"/>
      <c r="C59" s="7">
        <f>SUM(C49:C58)</f>
        <v>385</v>
      </c>
      <c r="D59" s="7">
        <f>SUM(D49:D58)</f>
        <v>192</v>
      </c>
      <c r="E59" s="7">
        <f>SUM(E49:E58)</f>
        <v>193</v>
      </c>
      <c r="I59" s="24" t="s">
        <v>23</v>
      </c>
      <c r="J59" s="24"/>
      <c r="K59" s="7">
        <f>SUM(K49:K58)</f>
        <v>385</v>
      </c>
      <c r="L59" s="7">
        <f>SUM(L49:L58)</f>
        <v>175</v>
      </c>
      <c r="M59" s="7">
        <f>SUM(M49:M58)</f>
        <v>210</v>
      </c>
    </row>
    <row r="61" spans="1:13" x14ac:dyDescent="0.3">
      <c r="A61" s="25" t="s">
        <v>22</v>
      </c>
      <c r="B61" s="25"/>
      <c r="C61" s="8">
        <f>C59+C45+C31+C17</f>
        <v>1678</v>
      </c>
      <c r="D61" s="8">
        <f t="shared" ref="D61:E61" si="0">D59+D45+D31+D17</f>
        <v>729</v>
      </c>
      <c r="E61" s="8">
        <f t="shared" si="0"/>
        <v>949</v>
      </c>
      <c r="I61" s="25" t="s">
        <v>31</v>
      </c>
      <c r="J61" s="25"/>
      <c r="K61" s="8">
        <f>K59+K45+K31+K17</f>
        <v>1680</v>
      </c>
      <c r="L61" s="8">
        <f t="shared" ref="L61:M61" si="1">L59+L45+L31+L17</f>
        <v>805</v>
      </c>
      <c r="M61" s="8">
        <f t="shared" si="1"/>
        <v>875</v>
      </c>
    </row>
    <row r="65" spans="3:10" x14ac:dyDescent="0.3">
      <c r="E65" s="23" t="s">
        <v>35</v>
      </c>
      <c r="F65" s="23"/>
      <c r="I65" s="23" t="s">
        <v>37</v>
      </c>
      <c r="J65" s="23"/>
    </row>
    <row r="66" spans="3:10" x14ac:dyDescent="0.3">
      <c r="C66" s="5"/>
      <c r="E66" s="10" t="s">
        <v>32</v>
      </c>
      <c r="F66" s="10">
        <f>C61+K61</f>
        <v>3358</v>
      </c>
      <c r="I66" s="10" t="s">
        <v>36</v>
      </c>
      <c r="J66" s="11">
        <f>F67/F66</f>
        <v>0.45681953543776055</v>
      </c>
    </row>
    <row r="67" spans="3:10" x14ac:dyDescent="0.3">
      <c r="C67" s="5"/>
      <c r="E67" s="10" t="s">
        <v>33</v>
      </c>
      <c r="F67" s="10">
        <f>D61+L61</f>
        <v>1534</v>
      </c>
      <c r="I67" s="10" t="s">
        <v>34</v>
      </c>
      <c r="J67" s="11">
        <f>F68/F66</f>
        <v>0.54318046456223945</v>
      </c>
    </row>
    <row r="68" spans="3:10" x14ac:dyDescent="0.3">
      <c r="C68" s="6"/>
      <c r="E68" s="10" t="s">
        <v>34</v>
      </c>
      <c r="F68" s="10">
        <f>E61+M61</f>
        <v>1824</v>
      </c>
    </row>
  </sheetData>
  <mergeCells count="23">
    <mergeCell ref="I45:J45"/>
    <mergeCell ref="A33:E33"/>
    <mergeCell ref="I33:M33"/>
    <mergeCell ref="A47:E47"/>
    <mergeCell ref="I47:M47"/>
    <mergeCell ref="A1:M1"/>
    <mergeCell ref="A3:E3"/>
    <mergeCell ref="I3:M3"/>
    <mergeCell ref="A5:E5"/>
    <mergeCell ref="I5:M5"/>
    <mergeCell ref="A19:E19"/>
    <mergeCell ref="I19:M19"/>
    <mergeCell ref="A17:B17"/>
    <mergeCell ref="I17:J17"/>
    <mergeCell ref="I31:J31"/>
    <mergeCell ref="A31:B31"/>
    <mergeCell ref="A45:B45"/>
    <mergeCell ref="A59:B59"/>
    <mergeCell ref="I59:J59"/>
    <mergeCell ref="A61:B61"/>
    <mergeCell ref="I61:J61"/>
    <mergeCell ref="E65:F65"/>
    <mergeCell ref="I65:J6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6BFD-A921-437B-B3A8-21854D3F7320}">
  <dimension ref="A1:M68"/>
  <sheetViews>
    <sheetView topLeftCell="A47" workbookViewId="0">
      <selection activeCell="J69" sqref="J69"/>
    </sheetView>
  </sheetViews>
  <sheetFormatPr defaultRowHeight="14.4" x14ac:dyDescent="0.3"/>
  <cols>
    <col min="1" max="1" width="11.77734375" bestFit="1" customWidth="1"/>
    <col min="2" max="2" width="12" bestFit="1" customWidth="1"/>
    <col min="3" max="3" width="20.44140625" bestFit="1" customWidth="1"/>
    <col min="4" max="4" width="14.44140625" bestFit="1" customWidth="1"/>
    <col min="5" max="5" width="15.5546875" bestFit="1" customWidth="1"/>
    <col min="6" max="6" width="5" bestFit="1" customWidth="1"/>
    <col min="7" max="7" width="2.77734375" customWidth="1"/>
    <col min="8" max="8" width="3.109375" customWidth="1"/>
    <col min="9" max="9" width="11.77734375" bestFit="1" customWidth="1"/>
    <col min="10" max="10" width="12" bestFit="1" customWidth="1"/>
    <col min="11" max="11" width="20.44140625" bestFit="1" customWidth="1"/>
    <col min="12" max="12" width="14.44140625" bestFit="1" customWidth="1"/>
    <col min="13" max="13" width="15.5546875" bestFit="1" customWidth="1"/>
  </cols>
  <sheetData>
    <row r="1" spans="1:13" ht="18" x14ac:dyDescent="0.35">
      <c r="A1" s="28" t="s">
        <v>25</v>
      </c>
      <c r="B1" s="28"/>
      <c r="C1" s="28"/>
      <c r="D1" s="28"/>
      <c r="E1" s="28"/>
      <c r="F1" s="28"/>
      <c r="G1" s="28"/>
      <c r="H1" s="28"/>
      <c r="I1" s="28"/>
      <c r="J1" s="28"/>
      <c r="K1" s="28"/>
      <c r="L1" s="28"/>
      <c r="M1" s="28"/>
    </row>
    <row r="3" spans="1:13" ht="15.6" x14ac:dyDescent="0.3">
      <c r="A3" s="29" t="s">
        <v>0</v>
      </c>
      <c r="B3" s="29"/>
      <c r="C3" s="29"/>
      <c r="D3" s="29"/>
      <c r="E3" s="29"/>
      <c r="G3" s="1"/>
      <c r="I3" s="29" t="s">
        <v>1</v>
      </c>
      <c r="J3" s="29"/>
      <c r="K3" s="29"/>
      <c r="L3" s="29"/>
      <c r="M3" s="29"/>
    </row>
    <row r="4" spans="1:13" ht="15.6" x14ac:dyDescent="0.3">
      <c r="A4" s="2"/>
      <c r="B4" s="2"/>
      <c r="C4" s="2"/>
      <c r="D4" s="2"/>
      <c r="E4" s="2"/>
      <c r="G4" s="1"/>
      <c r="I4" s="2"/>
      <c r="J4" s="2"/>
      <c r="K4" s="2"/>
      <c r="L4" s="2"/>
      <c r="M4" s="2"/>
    </row>
    <row r="5" spans="1:13" x14ac:dyDescent="0.3">
      <c r="A5" s="26" t="s">
        <v>2</v>
      </c>
      <c r="B5" s="26"/>
      <c r="C5" s="26"/>
      <c r="D5" s="26"/>
      <c r="E5" s="26"/>
      <c r="G5" s="1"/>
      <c r="I5" s="26" t="s">
        <v>2</v>
      </c>
      <c r="J5" s="26"/>
      <c r="K5" s="26"/>
      <c r="L5" s="26"/>
      <c r="M5" s="26"/>
    </row>
    <row r="6" spans="1:13" x14ac:dyDescent="0.3">
      <c r="A6" s="3" t="s">
        <v>3</v>
      </c>
      <c r="B6" s="3" t="s">
        <v>4</v>
      </c>
      <c r="C6" s="3" t="s">
        <v>5</v>
      </c>
      <c r="D6" s="3" t="s">
        <v>6</v>
      </c>
      <c r="E6" s="3" t="s">
        <v>7</v>
      </c>
      <c r="G6" s="1"/>
      <c r="I6" s="3" t="s">
        <v>3</v>
      </c>
      <c r="J6" s="3" t="s">
        <v>4</v>
      </c>
      <c r="K6" s="3" t="s">
        <v>5</v>
      </c>
      <c r="L6" s="3" t="s">
        <v>6</v>
      </c>
      <c r="M6" s="3" t="s">
        <v>7</v>
      </c>
    </row>
    <row r="7" spans="1:13" x14ac:dyDescent="0.3">
      <c r="A7" s="4" t="s">
        <v>8</v>
      </c>
      <c r="B7" s="4">
        <v>-2249.19</v>
      </c>
      <c r="C7" s="4">
        <v>82</v>
      </c>
      <c r="D7" s="4">
        <v>28</v>
      </c>
      <c r="E7" s="4">
        <v>54</v>
      </c>
      <c r="G7" s="1"/>
      <c r="I7" s="4" t="s">
        <v>8</v>
      </c>
      <c r="J7" s="4">
        <v>2883.19</v>
      </c>
      <c r="K7" s="4">
        <v>78</v>
      </c>
      <c r="L7" s="4">
        <v>42</v>
      </c>
      <c r="M7" s="4">
        <v>36</v>
      </c>
    </row>
    <row r="8" spans="1:13" x14ac:dyDescent="0.3">
      <c r="A8" s="4" t="s">
        <v>9</v>
      </c>
      <c r="B8" s="4">
        <v>2504.37</v>
      </c>
      <c r="C8" s="4">
        <v>75</v>
      </c>
      <c r="D8" s="4">
        <v>37</v>
      </c>
      <c r="E8" s="4">
        <v>38</v>
      </c>
      <c r="G8" s="1"/>
      <c r="I8" s="4" t="s">
        <v>9</v>
      </c>
      <c r="J8" s="4">
        <v>-3827.31</v>
      </c>
      <c r="K8" s="4">
        <v>90</v>
      </c>
      <c r="L8" s="4">
        <v>30</v>
      </c>
      <c r="M8" s="4">
        <v>60</v>
      </c>
    </row>
    <row r="9" spans="1:13" x14ac:dyDescent="0.3">
      <c r="A9" s="4" t="s">
        <v>10</v>
      </c>
      <c r="B9" s="4">
        <v>3177.15</v>
      </c>
      <c r="C9" s="4">
        <v>87</v>
      </c>
      <c r="D9" s="4">
        <v>37</v>
      </c>
      <c r="E9" s="4">
        <v>50</v>
      </c>
      <c r="G9" s="1"/>
      <c r="I9" s="4" t="s">
        <v>10</v>
      </c>
      <c r="J9" s="4">
        <v>-3394.1</v>
      </c>
      <c r="K9" s="4">
        <v>99</v>
      </c>
      <c r="L9" s="4">
        <v>35</v>
      </c>
      <c r="M9" s="4">
        <v>64</v>
      </c>
    </row>
    <row r="10" spans="1:13" x14ac:dyDescent="0.3">
      <c r="A10" s="4" t="s">
        <v>11</v>
      </c>
      <c r="B10" s="4">
        <v>1875.12</v>
      </c>
      <c r="C10" s="4">
        <v>92</v>
      </c>
      <c r="D10" s="4">
        <v>39</v>
      </c>
      <c r="E10" s="4">
        <v>53</v>
      </c>
      <c r="G10" s="1"/>
      <c r="I10" s="4" t="s">
        <v>11</v>
      </c>
      <c r="J10" s="4">
        <v>-1692.99</v>
      </c>
      <c r="K10" s="4">
        <v>98</v>
      </c>
      <c r="L10" s="4">
        <v>36</v>
      </c>
      <c r="M10" s="4">
        <v>62</v>
      </c>
    </row>
    <row r="11" spans="1:13" x14ac:dyDescent="0.3">
      <c r="A11" s="4" t="s">
        <v>12</v>
      </c>
      <c r="B11" s="4">
        <v>-758.09</v>
      </c>
      <c r="C11" s="4">
        <v>108</v>
      </c>
      <c r="D11" s="4">
        <v>40</v>
      </c>
      <c r="E11" s="4">
        <v>68</v>
      </c>
      <c r="G11" s="1"/>
      <c r="I11" s="4" t="s">
        <v>12</v>
      </c>
      <c r="J11" s="4">
        <v>-1948.75</v>
      </c>
      <c r="K11" s="4">
        <v>110</v>
      </c>
      <c r="L11" s="4">
        <v>38</v>
      </c>
      <c r="M11" s="4">
        <v>72</v>
      </c>
    </row>
    <row r="12" spans="1:13" x14ac:dyDescent="0.3">
      <c r="A12" s="4" t="s">
        <v>13</v>
      </c>
      <c r="B12" s="4">
        <v>3366.21</v>
      </c>
      <c r="C12" s="4">
        <v>81</v>
      </c>
      <c r="D12" s="4">
        <v>41</v>
      </c>
      <c r="E12" s="4">
        <v>40</v>
      </c>
      <c r="G12" s="1"/>
      <c r="I12" s="4" t="s">
        <v>13</v>
      </c>
      <c r="J12" s="4">
        <v>-736.65</v>
      </c>
      <c r="K12" s="4">
        <v>94</v>
      </c>
      <c r="L12" s="4">
        <v>36</v>
      </c>
      <c r="M12" s="4">
        <v>58</v>
      </c>
    </row>
    <row r="13" spans="1:13" x14ac:dyDescent="0.3">
      <c r="A13" s="4" t="s">
        <v>14</v>
      </c>
      <c r="B13" s="4">
        <v>-3183.74</v>
      </c>
      <c r="C13" s="4">
        <v>122</v>
      </c>
      <c r="D13" s="4">
        <v>42</v>
      </c>
      <c r="E13" s="4">
        <v>80</v>
      </c>
      <c r="G13" s="1"/>
      <c r="I13" s="4" t="s">
        <v>14</v>
      </c>
      <c r="J13" s="4">
        <v>394.29</v>
      </c>
      <c r="K13" s="4">
        <v>117</v>
      </c>
      <c r="L13" s="4">
        <v>46</v>
      </c>
      <c r="M13" s="4">
        <v>71</v>
      </c>
    </row>
    <row r="14" spans="1:13" x14ac:dyDescent="0.3">
      <c r="A14" s="4" t="s">
        <v>15</v>
      </c>
      <c r="B14" s="4">
        <v>-1111.49</v>
      </c>
      <c r="C14" s="4">
        <v>108</v>
      </c>
      <c r="D14" s="4">
        <v>38</v>
      </c>
      <c r="E14" s="4">
        <v>70</v>
      </c>
      <c r="G14" s="1"/>
      <c r="I14" s="4" t="s">
        <v>15</v>
      </c>
      <c r="J14" s="4">
        <v>5005.1099999999997</v>
      </c>
      <c r="K14" s="4">
        <v>115</v>
      </c>
      <c r="L14" s="4">
        <v>56</v>
      </c>
      <c r="M14" s="4">
        <v>59</v>
      </c>
    </row>
    <row r="15" spans="1:13" x14ac:dyDescent="0.3">
      <c r="A15" s="4" t="s">
        <v>16</v>
      </c>
      <c r="B15" s="4">
        <v>-1624</v>
      </c>
      <c r="C15" s="4">
        <v>103</v>
      </c>
      <c r="D15" s="4">
        <v>34</v>
      </c>
      <c r="E15" s="4">
        <v>69</v>
      </c>
      <c r="G15" s="1"/>
      <c r="I15" s="4" t="s">
        <v>16</v>
      </c>
      <c r="J15" s="4">
        <v>1945.7</v>
      </c>
      <c r="K15" s="4">
        <v>113</v>
      </c>
      <c r="L15" s="4">
        <v>44</v>
      </c>
      <c r="M15" s="4">
        <v>69</v>
      </c>
    </row>
    <row r="16" spans="1:13" x14ac:dyDescent="0.3">
      <c r="A16" s="4" t="s">
        <v>17</v>
      </c>
      <c r="B16" s="4">
        <v>809.6</v>
      </c>
      <c r="C16" s="4">
        <v>134</v>
      </c>
      <c r="D16" s="4">
        <v>51</v>
      </c>
      <c r="E16" s="4">
        <v>83</v>
      </c>
      <c r="G16" s="1"/>
      <c r="I16" s="4" t="s">
        <v>17</v>
      </c>
      <c r="J16" s="4">
        <v>-5260.17</v>
      </c>
      <c r="K16" s="4">
        <v>133</v>
      </c>
      <c r="L16" s="4">
        <v>42</v>
      </c>
      <c r="M16" s="4">
        <v>91</v>
      </c>
    </row>
    <row r="17" spans="1:13" x14ac:dyDescent="0.3">
      <c r="A17" s="24" t="s">
        <v>23</v>
      </c>
      <c r="B17" s="24"/>
      <c r="C17" s="7">
        <f>SUM(C7:C16)</f>
        <v>992</v>
      </c>
      <c r="D17" s="7">
        <f>SUM(D7:D16)</f>
        <v>387</v>
      </c>
      <c r="E17" s="7">
        <f>SUM(E7:E16)</f>
        <v>605</v>
      </c>
      <c r="G17" s="1"/>
      <c r="I17" s="24" t="s">
        <v>23</v>
      </c>
      <c r="J17" s="24"/>
      <c r="K17" s="7">
        <f>SUM(K7:K16)</f>
        <v>1047</v>
      </c>
      <c r="L17" s="7">
        <f>SUM(L7:L16)</f>
        <v>405</v>
      </c>
      <c r="M17" s="7">
        <f>SUM(M7:M16)</f>
        <v>642</v>
      </c>
    </row>
    <row r="18" spans="1:13" x14ac:dyDescent="0.3">
      <c r="G18" s="1"/>
    </row>
    <row r="19" spans="1:13" x14ac:dyDescent="0.3">
      <c r="A19" s="26" t="s">
        <v>18</v>
      </c>
      <c r="B19" s="26"/>
      <c r="C19" s="26"/>
      <c r="D19" s="26"/>
      <c r="E19" s="26"/>
      <c r="G19" s="1"/>
      <c r="I19" s="26" t="s">
        <v>18</v>
      </c>
      <c r="J19" s="26"/>
      <c r="K19" s="26"/>
      <c r="L19" s="26"/>
      <c r="M19" s="26"/>
    </row>
    <row r="20" spans="1:13" x14ac:dyDescent="0.3">
      <c r="A20" s="3" t="s">
        <v>3</v>
      </c>
      <c r="B20" s="3" t="s">
        <v>4</v>
      </c>
      <c r="C20" s="3" t="s">
        <v>5</v>
      </c>
      <c r="D20" s="3" t="s">
        <v>6</v>
      </c>
      <c r="E20" s="3" t="s">
        <v>7</v>
      </c>
      <c r="G20" s="1"/>
      <c r="I20" s="3" t="s">
        <v>3</v>
      </c>
      <c r="J20" s="3" t="s">
        <v>4</v>
      </c>
      <c r="K20" s="3" t="s">
        <v>5</v>
      </c>
      <c r="L20" s="3" t="s">
        <v>6</v>
      </c>
      <c r="M20" s="3" t="s">
        <v>7</v>
      </c>
    </row>
    <row r="21" spans="1:13" x14ac:dyDescent="0.3">
      <c r="A21" s="4" t="s">
        <v>8</v>
      </c>
      <c r="B21" s="4">
        <v>50.59</v>
      </c>
      <c r="C21" s="4">
        <v>75</v>
      </c>
      <c r="D21" s="4">
        <v>39</v>
      </c>
      <c r="E21" s="4">
        <v>36</v>
      </c>
      <c r="G21" s="1"/>
      <c r="I21" s="4" t="s">
        <v>8</v>
      </c>
      <c r="J21" s="4">
        <v>-309.49</v>
      </c>
      <c r="K21" s="4">
        <v>77</v>
      </c>
      <c r="L21" s="4">
        <v>38</v>
      </c>
      <c r="M21" s="4">
        <v>39</v>
      </c>
    </row>
    <row r="22" spans="1:13" x14ac:dyDescent="0.3">
      <c r="A22" s="4" t="s">
        <v>9</v>
      </c>
      <c r="B22" s="4">
        <v>-1284.52</v>
      </c>
      <c r="C22" s="4">
        <v>75</v>
      </c>
      <c r="D22" s="4">
        <v>29</v>
      </c>
      <c r="E22" s="4">
        <v>46</v>
      </c>
      <c r="G22" s="1"/>
      <c r="I22" s="4" t="s">
        <v>9</v>
      </c>
      <c r="J22" s="4">
        <v>322.66000000000003</v>
      </c>
      <c r="K22" s="4">
        <v>68</v>
      </c>
      <c r="L22" s="4">
        <v>37</v>
      </c>
      <c r="M22" s="4">
        <v>31</v>
      </c>
    </row>
    <row r="23" spans="1:13" x14ac:dyDescent="0.3">
      <c r="A23" s="4" t="s">
        <v>10</v>
      </c>
      <c r="B23" s="4">
        <v>-1321.24</v>
      </c>
      <c r="C23" s="4">
        <v>92</v>
      </c>
      <c r="D23" s="4">
        <v>36</v>
      </c>
      <c r="E23" s="4">
        <v>56</v>
      </c>
      <c r="G23" s="1"/>
      <c r="I23" s="4" t="s">
        <v>10</v>
      </c>
      <c r="J23" s="4">
        <v>477.09</v>
      </c>
      <c r="K23" s="4">
        <v>87</v>
      </c>
      <c r="L23" s="4">
        <v>38</v>
      </c>
      <c r="M23" s="4">
        <v>49</v>
      </c>
    </row>
    <row r="24" spans="1:13" x14ac:dyDescent="0.3">
      <c r="A24" s="4" t="s">
        <v>11</v>
      </c>
      <c r="B24" s="4">
        <v>-55.1</v>
      </c>
      <c r="C24" s="4">
        <v>84</v>
      </c>
      <c r="D24" s="4">
        <v>32</v>
      </c>
      <c r="E24" s="4">
        <v>52</v>
      </c>
      <c r="G24" s="1"/>
      <c r="I24" s="4" t="s">
        <v>11</v>
      </c>
      <c r="J24" s="4">
        <v>103.62</v>
      </c>
      <c r="K24" s="4">
        <v>89</v>
      </c>
      <c r="L24" s="4">
        <v>39</v>
      </c>
      <c r="M24" s="4">
        <v>50</v>
      </c>
    </row>
    <row r="25" spans="1:13" x14ac:dyDescent="0.3">
      <c r="A25" s="4" t="s">
        <v>12</v>
      </c>
      <c r="B25" s="4">
        <v>1080.5</v>
      </c>
      <c r="C25" s="4">
        <v>89</v>
      </c>
      <c r="D25" s="4">
        <v>38</v>
      </c>
      <c r="E25" s="4">
        <v>51</v>
      </c>
      <c r="G25" s="1"/>
      <c r="I25" s="4" t="s">
        <v>12</v>
      </c>
      <c r="J25" s="4">
        <v>-992.6</v>
      </c>
      <c r="K25" s="4">
        <v>89</v>
      </c>
      <c r="L25" s="4">
        <v>34</v>
      </c>
      <c r="M25" s="4">
        <v>55</v>
      </c>
    </row>
    <row r="26" spans="1:13" x14ac:dyDescent="0.3">
      <c r="A26" s="4" t="s">
        <v>13</v>
      </c>
      <c r="B26" s="4">
        <v>-2931.18</v>
      </c>
      <c r="C26" s="4">
        <v>106</v>
      </c>
      <c r="D26" s="4">
        <v>35</v>
      </c>
      <c r="E26" s="4">
        <v>71</v>
      </c>
      <c r="G26" s="1"/>
      <c r="I26" s="4" t="s">
        <v>13</v>
      </c>
      <c r="J26" s="4">
        <v>3020.02</v>
      </c>
      <c r="K26" s="4">
        <v>100</v>
      </c>
      <c r="L26" s="4">
        <v>48</v>
      </c>
      <c r="M26" s="4">
        <v>52</v>
      </c>
    </row>
    <row r="27" spans="1:13" x14ac:dyDescent="0.3">
      <c r="A27" s="4" t="s">
        <v>14</v>
      </c>
      <c r="B27" s="4">
        <v>-871.14</v>
      </c>
      <c r="C27" s="4">
        <v>110</v>
      </c>
      <c r="D27" s="4">
        <v>37</v>
      </c>
      <c r="E27" s="4">
        <v>73</v>
      </c>
      <c r="G27" s="1"/>
      <c r="I27" s="4" t="s">
        <v>14</v>
      </c>
      <c r="J27" s="4">
        <v>311.99</v>
      </c>
      <c r="K27" s="4">
        <v>106</v>
      </c>
      <c r="L27" s="4">
        <v>45</v>
      </c>
      <c r="M27" s="4">
        <v>61</v>
      </c>
    </row>
    <row r="28" spans="1:13" x14ac:dyDescent="0.3">
      <c r="A28" s="4" t="s">
        <v>15</v>
      </c>
      <c r="B28" s="4">
        <v>-6401.21</v>
      </c>
      <c r="C28" s="4">
        <v>112</v>
      </c>
      <c r="D28" s="4">
        <v>28</v>
      </c>
      <c r="E28" s="4">
        <v>84</v>
      </c>
      <c r="G28" s="1"/>
      <c r="I28" s="4" t="s">
        <v>15</v>
      </c>
      <c r="J28" s="4">
        <v>2935.81</v>
      </c>
      <c r="K28" s="4">
        <v>111</v>
      </c>
      <c r="L28" s="4">
        <v>51</v>
      </c>
      <c r="M28" s="4">
        <v>60</v>
      </c>
    </row>
    <row r="29" spans="1:13" x14ac:dyDescent="0.3">
      <c r="A29" s="4" t="s">
        <v>16</v>
      </c>
      <c r="B29" s="4">
        <v>3650.25</v>
      </c>
      <c r="C29" s="4">
        <v>112</v>
      </c>
      <c r="D29" s="4">
        <v>46</v>
      </c>
      <c r="E29" s="4">
        <v>66</v>
      </c>
      <c r="G29" s="1"/>
      <c r="I29" s="4" t="s">
        <v>16</v>
      </c>
      <c r="J29" s="4">
        <v>-982.14</v>
      </c>
      <c r="K29" s="4">
        <v>131</v>
      </c>
      <c r="L29" s="4">
        <v>57</v>
      </c>
      <c r="M29" s="4">
        <v>74</v>
      </c>
    </row>
    <row r="30" spans="1:13" x14ac:dyDescent="0.3">
      <c r="A30" s="4" t="s">
        <v>17</v>
      </c>
      <c r="B30" s="4">
        <v>-8908.7900000000009</v>
      </c>
      <c r="C30" s="4">
        <v>146</v>
      </c>
      <c r="D30" s="4">
        <v>36</v>
      </c>
      <c r="E30" s="4">
        <v>110</v>
      </c>
      <c r="G30" s="1"/>
      <c r="I30" s="4" t="s">
        <v>17</v>
      </c>
      <c r="J30" s="4">
        <v>1471.22</v>
      </c>
      <c r="K30" s="4">
        <v>133</v>
      </c>
      <c r="L30" s="4">
        <v>53</v>
      </c>
      <c r="M30" s="4">
        <v>80</v>
      </c>
    </row>
    <row r="31" spans="1:13" x14ac:dyDescent="0.3">
      <c r="A31" s="24" t="s">
        <v>23</v>
      </c>
      <c r="B31" s="24"/>
      <c r="C31" s="7">
        <f>SUM(C21:C30)</f>
        <v>1001</v>
      </c>
      <c r="D31" s="7">
        <f>SUM(D21:D30)</f>
        <v>356</v>
      </c>
      <c r="E31" s="7">
        <f>SUM(E21:E30)</f>
        <v>645</v>
      </c>
      <c r="G31" s="1"/>
      <c r="I31" s="24" t="s">
        <v>23</v>
      </c>
      <c r="J31" s="24"/>
      <c r="K31" s="7">
        <f>SUM(K21:K30)</f>
        <v>991</v>
      </c>
      <c r="L31" s="7">
        <f>SUM(L21:L30)</f>
        <v>440</v>
      </c>
      <c r="M31" s="7">
        <f>SUM(M21:M30)</f>
        <v>551</v>
      </c>
    </row>
    <row r="32" spans="1:13" x14ac:dyDescent="0.3">
      <c r="G32" s="1"/>
    </row>
    <row r="33" spans="1:13" x14ac:dyDescent="0.3">
      <c r="A33" s="26" t="s">
        <v>19</v>
      </c>
      <c r="B33" s="26"/>
      <c r="C33" s="26"/>
      <c r="D33" s="26"/>
      <c r="E33" s="26"/>
      <c r="G33" s="1"/>
      <c r="I33" s="27" t="s">
        <v>19</v>
      </c>
      <c r="J33" s="27"/>
      <c r="K33" s="27"/>
      <c r="L33" s="27"/>
      <c r="M33" s="27"/>
    </row>
    <row r="34" spans="1:13" x14ac:dyDescent="0.3">
      <c r="A34" s="3" t="s">
        <v>3</v>
      </c>
      <c r="B34" s="3" t="s">
        <v>4</v>
      </c>
      <c r="C34" s="3" t="s">
        <v>5</v>
      </c>
      <c r="D34" s="3" t="s">
        <v>6</v>
      </c>
      <c r="E34" s="3" t="s">
        <v>7</v>
      </c>
      <c r="G34" s="1"/>
      <c r="I34" s="3" t="s">
        <v>3</v>
      </c>
      <c r="J34" s="3" t="s">
        <v>4</v>
      </c>
      <c r="K34" s="3" t="s">
        <v>5</v>
      </c>
      <c r="L34" s="3" t="s">
        <v>6</v>
      </c>
      <c r="M34" s="3" t="s">
        <v>7</v>
      </c>
    </row>
    <row r="35" spans="1:13" x14ac:dyDescent="0.3">
      <c r="A35" s="4" t="s">
        <v>8</v>
      </c>
      <c r="B35" s="4">
        <v>-1879.84</v>
      </c>
      <c r="C35" s="4">
        <v>81</v>
      </c>
      <c r="D35" s="4">
        <v>30</v>
      </c>
      <c r="E35" s="4">
        <v>51</v>
      </c>
      <c r="G35" s="1"/>
      <c r="I35" s="4" t="s">
        <v>8</v>
      </c>
      <c r="J35" s="4">
        <v>1126</v>
      </c>
      <c r="K35" s="4">
        <v>76</v>
      </c>
      <c r="L35" s="4">
        <v>37</v>
      </c>
      <c r="M35" s="4">
        <v>39</v>
      </c>
    </row>
    <row r="36" spans="1:13" x14ac:dyDescent="0.3">
      <c r="A36" s="4" t="s">
        <v>9</v>
      </c>
      <c r="B36" s="4">
        <v>-884.79</v>
      </c>
      <c r="C36" s="4">
        <v>68</v>
      </c>
      <c r="D36" s="4">
        <v>29</v>
      </c>
      <c r="E36" s="4">
        <v>39</v>
      </c>
      <c r="G36" s="1"/>
      <c r="I36" s="4" t="s">
        <v>9</v>
      </c>
      <c r="J36" s="4">
        <v>2297.1</v>
      </c>
      <c r="K36" s="4">
        <v>67</v>
      </c>
      <c r="L36" s="4">
        <v>34</v>
      </c>
      <c r="M36" s="4">
        <v>33</v>
      </c>
    </row>
    <row r="37" spans="1:13" x14ac:dyDescent="0.3">
      <c r="A37" s="4" t="s">
        <v>10</v>
      </c>
      <c r="B37" s="4">
        <v>-980.54</v>
      </c>
      <c r="C37" s="4">
        <v>79</v>
      </c>
      <c r="D37" s="4">
        <v>35</v>
      </c>
      <c r="E37" s="4">
        <v>44</v>
      </c>
      <c r="G37" s="1"/>
      <c r="I37" s="4" t="s">
        <v>10</v>
      </c>
      <c r="J37" s="4">
        <v>-29.6</v>
      </c>
      <c r="K37" s="4">
        <v>79</v>
      </c>
      <c r="L37" s="4">
        <v>31</v>
      </c>
      <c r="M37" s="4">
        <v>48</v>
      </c>
    </row>
    <row r="38" spans="1:13" x14ac:dyDescent="0.3">
      <c r="A38" s="4" t="s">
        <v>11</v>
      </c>
      <c r="B38" s="4">
        <v>-1194.52</v>
      </c>
      <c r="C38" s="4">
        <v>82</v>
      </c>
      <c r="D38" s="4">
        <v>33</v>
      </c>
      <c r="E38" s="4">
        <v>49</v>
      </c>
      <c r="G38" s="1"/>
      <c r="I38" s="4" t="s">
        <v>11</v>
      </c>
      <c r="J38" s="4">
        <v>3916.2</v>
      </c>
      <c r="K38" s="4">
        <v>77</v>
      </c>
      <c r="L38" s="4">
        <v>37</v>
      </c>
      <c r="M38" s="4">
        <v>40</v>
      </c>
    </row>
    <row r="39" spans="1:13" x14ac:dyDescent="0.3">
      <c r="A39" s="4" t="s">
        <v>12</v>
      </c>
      <c r="B39" s="4">
        <v>-809.39</v>
      </c>
      <c r="C39" s="4">
        <v>848</v>
      </c>
      <c r="D39" s="4">
        <v>35</v>
      </c>
      <c r="E39" s="4">
        <v>49</v>
      </c>
      <c r="G39" s="1"/>
      <c r="I39" s="4" t="s">
        <v>12</v>
      </c>
      <c r="J39" s="4">
        <v>1151.8900000000001</v>
      </c>
      <c r="K39" s="4">
        <v>78</v>
      </c>
      <c r="L39" s="4">
        <v>33</v>
      </c>
      <c r="M39" s="4">
        <v>45</v>
      </c>
    </row>
    <row r="40" spans="1:13" x14ac:dyDescent="0.3">
      <c r="A40" s="4" t="s">
        <v>13</v>
      </c>
      <c r="B40" s="4">
        <v>3121.1</v>
      </c>
      <c r="C40" s="4">
        <v>88</v>
      </c>
      <c r="D40" s="4">
        <v>40</v>
      </c>
      <c r="E40" s="4">
        <v>48</v>
      </c>
      <c r="G40" s="1"/>
      <c r="I40" s="4" t="s">
        <v>13</v>
      </c>
      <c r="J40" s="4">
        <v>1551.86</v>
      </c>
      <c r="K40" s="4">
        <v>82</v>
      </c>
      <c r="L40" s="4">
        <v>38</v>
      </c>
      <c r="M40" s="4">
        <v>44</v>
      </c>
    </row>
    <row r="41" spans="1:13" x14ac:dyDescent="0.3">
      <c r="A41" s="4" t="s">
        <v>14</v>
      </c>
      <c r="B41" s="4">
        <v>-605.14</v>
      </c>
      <c r="C41" s="4">
        <v>102</v>
      </c>
      <c r="D41" s="4">
        <v>34</v>
      </c>
      <c r="E41" s="4">
        <v>68</v>
      </c>
      <c r="G41" s="1"/>
      <c r="I41" s="4" t="s">
        <v>14</v>
      </c>
      <c r="J41" s="4">
        <v>2442.7399999999998</v>
      </c>
      <c r="K41" s="4">
        <v>94</v>
      </c>
      <c r="L41" s="4">
        <v>44</v>
      </c>
      <c r="M41" s="4">
        <v>50</v>
      </c>
    </row>
    <row r="42" spans="1:13" x14ac:dyDescent="0.3">
      <c r="A42" s="4" t="s">
        <v>15</v>
      </c>
      <c r="B42" s="4">
        <v>-2132.83</v>
      </c>
      <c r="C42" s="4">
        <v>98</v>
      </c>
      <c r="D42" s="4">
        <v>32</v>
      </c>
      <c r="E42" s="4">
        <v>66</v>
      </c>
      <c r="G42" s="1"/>
      <c r="I42" s="4" t="s">
        <v>15</v>
      </c>
      <c r="J42" s="4">
        <v>3702.76</v>
      </c>
      <c r="K42" s="4">
        <v>99</v>
      </c>
      <c r="L42" s="4">
        <v>46</v>
      </c>
      <c r="M42" s="4">
        <v>53</v>
      </c>
    </row>
    <row r="43" spans="1:13" x14ac:dyDescent="0.3">
      <c r="A43" s="4" t="s">
        <v>16</v>
      </c>
      <c r="B43" s="4">
        <v>-1128.52</v>
      </c>
      <c r="C43" s="4">
        <v>88</v>
      </c>
      <c r="D43" s="4">
        <v>32</v>
      </c>
      <c r="E43" s="4">
        <v>56</v>
      </c>
      <c r="G43" s="1"/>
      <c r="I43" s="4" t="s">
        <v>16</v>
      </c>
      <c r="J43" s="4">
        <v>3287.37</v>
      </c>
      <c r="K43" s="4">
        <v>91</v>
      </c>
      <c r="L43" s="4">
        <v>47</v>
      </c>
      <c r="M43" s="4">
        <v>44</v>
      </c>
    </row>
    <row r="44" spans="1:13" x14ac:dyDescent="0.3">
      <c r="A44" s="4" t="s">
        <v>17</v>
      </c>
      <c r="B44" s="4">
        <v>-2594.6</v>
      </c>
      <c r="C44" s="4">
        <v>108</v>
      </c>
      <c r="D44" s="4">
        <v>35</v>
      </c>
      <c r="E44" s="4">
        <v>73</v>
      </c>
      <c r="G44" s="1"/>
      <c r="I44" s="4" t="s">
        <v>17</v>
      </c>
      <c r="J44" s="4">
        <v>2193.9</v>
      </c>
      <c r="K44" s="4">
        <v>99</v>
      </c>
      <c r="L44" s="4">
        <v>44</v>
      </c>
      <c r="M44" s="4">
        <v>55</v>
      </c>
    </row>
    <row r="45" spans="1:13" x14ac:dyDescent="0.3">
      <c r="A45" s="24" t="s">
        <v>23</v>
      </c>
      <c r="B45" s="24"/>
      <c r="C45" s="7">
        <f>SUM(C35:C44)</f>
        <v>1642</v>
      </c>
      <c r="D45" s="7">
        <f>SUM(D35:D44)</f>
        <v>335</v>
      </c>
      <c r="E45" s="7">
        <f>SUM(E35:E44)</f>
        <v>543</v>
      </c>
      <c r="G45" s="1"/>
      <c r="I45" s="24" t="s">
        <v>23</v>
      </c>
      <c r="J45" s="24"/>
      <c r="K45" s="7">
        <f>SUM(K35:K44)</f>
        <v>842</v>
      </c>
      <c r="L45" s="7">
        <f>SUM(L35:L44)</f>
        <v>391</v>
      </c>
      <c r="M45" s="7">
        <f>SUM(M35:M44)</f>
        <v>451</v>
      </c>
    </row>
    <row r="46" spans="1:13" x14ac:dyDescent="0.3">
      <c r="G46" s="1"/>
    </row>
    <row r="47" spans="1:13" x14ac:dyDescent="0.3">
      <c r="A47" s="26" t="s">
        <v>20</v>
      </c>
      <c r="B47" s="26"/>
      <c r="C47" s="26"/>
      <c r="D47" s="26"/>
      <c r="E47" s="26"/>
      <c r="G47" s="1"/>
      <c r="I47" s="26" t="s">
        <v>20</v>
      </c>
      <c r="J47" s="26"/>
      <c r="K47" s="26"/>
      <c r="L47" s="26"/>
      <c r="M47" s="26"/>
    </row>
    <row r="48" spans="1:13" x14ac:dyDescent="0.3">
      <c r="A48" s="3" t="s">
        <v>3</v>
      </c>
      <c r="B48" s="3" t="s">
        <v>4</v>
      </c>
      <c r="C48" s="3" t="s">
        <v>5</v>
      </c>
      <c r="D48" s="3" t="s">
        <v>6</v>
      </c>
      <c r="E48" s="3" t="s">
        <v>7</v>
      </c>
      <c r="G48" s="1"/>
      <c r="I48" s="3" t="s">
        <v>3</v>
      </c>
      <c r="J48" s="3" t="s">
        <v>4</v>
      </c>
      <c r="K48" s="3" t="s">
        <v>5</v>
      </c>
      <c r="L48" s="3" t="s">
        <v>6</v>
      </c>
      <c r="M48" s="3" t="s">
        <v>7</v>
      </c>
    </row>
    <row r="49" spans="1:13" x14ac:dyDescent="0.3">
      <c r="A49" s="4" t="s">
        <v>8</v>
      </c>
      <c r="B49" s="4">
        <v>1023.6</v>
      </c>
      <c r="C49" s="4">
        <v>83</v>
      </c>
      <c r="D49" s="4">
        <v>40</v>
      </c>
      <c r="E49" s="4">
        <v>43</v>
      </c>
      <c r="G49" s="1"/>
      <c r="I49" s="4" t="s">
        <v>8</v>
      </c>
      <c r="J49" s="4">
        <v>-1497.7</v>
      </c>
      <c r="K49" s="4">
        <v>85</v>
      </c>
      <c r="L49" s="4">
        <v>32</v>
      </c>
      <c r="M49" s="4">
        <v>53</v>
      </c>
    </row>
    <row r="50" spans="1:13" x14ac:dyDescent="0.3">
      <c r="A50" s="4" t="s">
        <v>9</v>
      </c>
      <c r="B50" s="4">
        <v>4021.33</v>
      </c>
      <c r="C50" s="4">
        <v>83</v>
      </c>
      <c r="D50" s="4">
        <v>44</v>
      </c>
      <c r="E50" s="4">
        <v>39</v>
      </c>
      <c r="G50" s="1"/>
      <c r="I50" s="4" t="s">
        <v>9</v>
      </c>
      <c r="J50" s="4">
        <v>-1574.1</v>
      </c>
      <c r="K50" s="4">
        <v>92</v>
      </c>
      <c r="L50" s="4">
        <v>31</v>
      </c>
      <c r="M50" s="4">
        <v>61</v>
      </c>
    </row>
    <row r="51" spans="1:13" x14ac:dyDescent="0.3">
      <c r="A51" s="4" t="s">
        <v>10</v>
      </c>
      <c r="B51" s="4">
        <v>-1440.84</v>
      </c>
      <c r="C51" s="4">
        <v>90</v>
      </c>
      <c r="D51" s="4">
        <v>35</v>
      </c>
      <c r="E51" s="4">
        <v>55</v>
      </c>
      <c r="G51" s="1"/>
      <c r="I51" s="4" t="s">
        <v>10</v>
      </c>
      <c r="J51" s="4">
        <v>295.14</v>
      </c>
      <c r="K51" s="4">
        <v>85</v>
      </c>
      <c r="L51" s="4">
        <v>39</v>
      </c>
      <c r="M51" s="4">
        <v>46</v>
      </c>
    </row>
    <row r="52" spans="1:13" x14ac:dyDescent="0.3">
      <c r="A52" s="4" t="s">
        <v>11</v>
      </c>
      <c r="B52" s="4">
        <v>1436.32</v>
      </c>
      <c r="C52" s="4">
        <v>106</v>
      </c>
      <c r="D52" s="4">
        <v>41</v>
      </c>
      <c r="E52" s="4">
        <v>65</v>
      </c>
      <c r="G52" s="1"/>
      <c r="I52" s="4" t="s">
        <v>11</v>
      </c>
      <c r="J52" s="4">
        <v>3506.22</v>
      </c>
      <c r="K52" s="4">
        <v>96</v>
      </c>
      <c r="L52" s="4">
        <v>44</v>
      </c>
      <c r="M52" s="4">
        <v>52</v>
      </c>
    </row>
    <row r="53" spans="1:13" x14ac:dyDescent="0.3">
      <c r="A53" s="4" t="s">
        <v>12</v>
      </c>
      <c r="B53" s="4">
        <v>-73.19</v>
      </c>
      <c r="C53" s="4">
        <v>94</v>
      </c>
      <c r="D53" s="4">
        <v>35</v>
      </c>
      <c r="E53" s="4">
        <v>59</v>
      </c>
      <c r="G53" s="1"/>
      <c r="I53" s="4" t="s">
        <v>12</v>
      </c>
      <c r="J53" s="4">
        <v>4554.79</v>
      </c>
      <c r="K53" s="4">
        <v>88</v>
      </c>
      <c r="L53" s="4">
        <v>42</v>
      </c>
      <c r="M53" s="4">
        <v>46</v>
      </c>
    </row>
    <row r="54" spans="1:13" x14ac:dyDescent="0.3">
      <c r="A54" s="4" t="s">
        <v>13</v>
      </c>
      <c r="B54" s="4">
        <v>676.45</v>
      </c>
      <c r="C54" s="4">
        <v>96</v>
      </c>
      <c r="D54" s="4">
        <v>39</v>
      </c>
      <c r="E54" s="4">
        <v>57</v>
      </c>
      <c r="G54" s="1"/>
      <c r="I54" s="4" t="s">
        <v>13</v>
      </c>
      <c r="J54" s="4">
        <v>2266.7399999999998</v>
      </c>
      <c r="K54" s="4">
        <v>101</v>
      </c>
      <c r="L54" s="4">
        <v>45</v>
      </c>
      <c r="M54" s="4">
        <v>56</v>
      </c>
    </row>
    <row r="55" spans="1:13" x14ac:dyDescent="0.3">
      <c r="A55" s="4" t="s">
        <v>14</v>
      </c>
      <c r="B55" s="4">
        <v>3267.7</v>
      </c>
      <c r="C55" s="4">
        <v>93</v>
      </c>
      <c r="D55" s="4">
        <v>43</v>
      </c>
      <c r="E55" s="4">
        <v>50</v>
      </c>
      <c r="G55" s="1"/>
      <c r="I55" s="4" t="s">
        <v>14</v>
      </c>
      <c r="J55" s="4">
        <v>-3168.95</v>
      </c>
      <c r="K55" s="4">
        <v>103</v>
      </c>
      <c r="L55" s="4">
        <v>31</v>
      </c>
      <c r="M55" s="4">
        <v>72</v>
      </c>
    </row>
    <row r="56" spans="1:13" x14ac:dyDescent="0.3">
      <c r="A56" s="4" t="s">
        <v>15</v>
      </c>
      <c r="B56" s="4">
        <v>-1533.02</v>
      </c>
      <c r="C56" s="4">
        <v>120</v>
      </c>
      <c r="D56" s="4">
        <v>43</v>
      </c>
      <c r="E56" s="4">
        <v>77</v>
      </c>
      <c r="G56" s="1"/>
      <c r="I56" s="4" t="s">
        <v>15</v>
      </c>
      <c r="J56" s="4">
        <v>535.5</v>
      </c>
      <c r="K56" s="4">
        <v>120</v>
      </c>
      <c r="L56" s="4">
        <v>44</v>
      </c>
      <c r="M56" s="4">
        <v>76</v>
      </c>
    </row>
    <row r="57" spans="1:13" x14ac:dyDescent="0.3">
      <c r="A57" s="4" t="s">
        <v>16</v>
      </c>
      <c r="B57" s="4">
        <v>3665.14</v>
      </c>
      <c r="C57" s="4">
        <v>96</v>
      </c>
      <c r="D57" s="4">
        <v>46</v>
      </c>
      <c r="E57" s="4">
        <v>50</v>
      </c>
      <c r="G57" s="1"/>
      <c r="I57" s="4" t="s">
        <v>16</v>
      </c>
      <c r="J57" s="4">
        <v>3575.29</v>
      </c>
      <c r="K57" s="4">
        <v>102</v>
      </c>
      <c r="L57" s="4">
        <v>42</v>
      </c>
      <c r="M57" s="4">
        <v>60</v>
      </c>
    </row>
    <row r="58" spans="1:13" x14ac:dyDescent="0.3">
      <c r="A58" s="4" t="s">
        <v>17</v>
      </c>
      <c r="B58" s="4">
        <v>-5420.8</v>
      </c>
      <c r="C58" s="4">
        <v>147</v>
      </c>
      <c r="D58" s="4">
        <v>44</v>
      </c>
      <c r="E58" s="4">
        <v>103</v>
      </c>
      <c r="G58" s="1"/>
      <c r="I58" s="4" t="s">
        <v>17</v>
      </c>
      <c r="J58" s="4">
        <v>688.19</v>
      </c>
      <c r="K58" s="4">
        <v>132</v>
      </c>
      <c r="L58" s="4">
        <v>53</v>
      </c>
      <c r="M58" s="4">
        <v>79</v>
      </c>
    </row>
    <row r="59" spans="1:13" x14ac:dyDescent="0.3">
      <c r="A59" s="24" t="s">
        <v>23</v>
      </c>
      <c r="B59" s="24"/>
      <c r="C59" s="7">
        <f>SUM(C49:C58)</f>
        <v>1008</v>
      </c>
      <c r="D59" s="7">
        <f>SUM(D49:D58)</f>
        <v>410</v>
      </c>
      <c r="E59" s="7">
        <f>SUM(E49:E58)</f>
        <v>598</v>
      </c>
      <c r="I59" s="24" t="s">
        <v>23</v>
      </c>
      <c r="J59" s="24"/>
      <c r="K59" s="7">
        <f>SUM(K49:K58)</f>
        <v>1004</v>
      </c>
      <c r="L59" s="7">
        <f>SUM(L49:L58)</f>
        <v>403</v>
      </c>
      <c r="M59" s="7">
        <f>SUM(M49:M58)</f>
        <v>601</v>
      </c>
    </row>
    <row r="61" spans="1:13" x14ac:dyDescent="0.3">
      <c r="A61" s="25" t="s">
        <v>22</v>
      </c>
      <c r="B61" s="25"/>
      <c r="C61" s="8">
        <f>C59+C45+C31+C17</f>
        <v>4643</v>
      </c>
      <c r="D61" s="8">
        <f t="shared" ref="D61:E61" si="0">D59+D45+D31+D17</f>
        <v>1488</v>
      </c>
      <c r="E61" s="8">
        <f t="shared" si="0"/>
        <v>2391</v>
      </c>
      <c r="I61" s="25" t="s">
        <v>31</v>
      </c>
      <c r="J61" s="25"/>
      <c r="K61" s="8">
        <f>K59+K45+K31+K17</f>
        <v>3884</v>
      </c>
      <c r="L61" s="8">
        <f t="shared" ref="L61:M61" si="1">L59+L45+L31+L17</f>
        <v>1639</v>
      </c>
      <c r="M61" s="8">
        <f t="shared" si="1"/>
        <v>2245</v>
      </c>
    </row>
    <row r="65" spans="3:10" x14ac:dyDescent="0.3">
      <c r="E65" s="23" t="s">
        <v>35</v>
      </c>
      <c r="F65" s="23"/>
      <c r="I65" s="23" t="s">
        <v>37</v>
      </c>
      <c r="J65" s="23"/>
    </row>
    <row r="66" spans="3:10" x14ac:dyDescent="0.3">
      <c r="C66" s="5"/>
      <c r="E66" s="10" t="s">
        <v>32</v>
      </c>
      <c r="F66" s="10">
        <f>C61+K61</f>
        <v>8527</v>
      </c>
      <c r="I66" s="10" t="s">
        <v>36</v>
      </c>
      <c r="J66" s="11">
        <f>F67/F66</f>
        <v>0.36671748563386891</v>
      </c>
    </row>
    <row r="67" spans="3:10" x14ac:dyDescent="0.3">
      <c r="C67" s="5"/>
      <c r="E67" s="10" t="s">
        <v>33</v>
      </c>
      <c r="F67" s="10">
        <f>D61+L61</f>
        <v>3127</v>
      </c>
      <c r="I67" s="10" t="s">
        <v>34</v>
      </c>
      <c r="J67" s="11">
        <f>F68/F66</f>
        <v>0.54368476603729332</v>
      </c>
    </row>
    <row r="68" spans="3:10" x14ac:dyDescent="0.3">
      <c r="C68" s="6"/>
      <c r="E68" s="10" t="s">
        <v>34</v>
      </c>
      <c r="F68" s="10">
        <f>E61+M61</f>
        <v>4636</v>
      </c>
    </row>
  </sheetData>
  <mergeCells count="23">
    <mergeCell ref="A47:E47"/>
    <mergeCell ref="I47:M47"/>
    <mergeCell ref="A1:M1"/>
    <mergeCell ref="A3:E3"/>
    <mergeCell ref="I3:M3"/>
    <mergeCell ref="A5:E5"/>
    <mergeCell ref="I5:M5"/>
    <mergeCell ref="A19:E19"/>
    <mergeCell ref="I19:M19"/>
    <mergeCell ref="A17:B17"/>
    <mergeCell ref="A31:B31"/>
    <mergeCell ref="A45:B45"/>
    <mergeCell ref="I31:J31"/>
    <mergeCell ref="I17:J17"/>
    <mergeCell ref="I45:J45"/>
    <mergeCell ref="A33:E33"/>
    <mergeCell ref="I33:M33"/>
    <mergeCell ref="A61:B61"/>
    <mergeCell ref="I61:J61"/>
    <mergeCell ref="E65:F65"/>
    <mergeCell ref="I65:J65"/>
    <mergeCell ref="A59:B59"/>
    <mergeCell ref="I59:J5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387C0-5172-4F61-9BAA-2F22EFB5BA3D}">
  <dimension ref="A1:M68"/>
  <sheetViews>
    <sheetView topLeftCell="A34" workbookViewId="0">
      <selection activeCell="I45" sqref="I45:M45"/>
    </sheetView>
  </sheetViews>
  <sheetFormatPr defaultRowHeight="14.4" x14ac:dyDescent="0.3"/>
  <cols>
    <col min="1" max="1" width="11.77734375" bestFit="1" customWidth="1"/>
    <col min="2" max="2" width="12" bestFit="1" customWidth="1"/>
    <col min="3" max="3" width="20.44140625" bestFit="1" customWidth="1"/>
    <col min="4" max="4" width="14.44140625" bestFit="1" customWidth="1"/>
    <col min="5" max="5" width="15.5546875" bestFit="1" customWidth="1"/>
    <col min="6" max="6" width="5" bestFit="1" customWidth="1"/>
    <col min="7" max="7" width="2.77734375" customWidth="1"/>
    <col min="8" max="8" width="3.109375" customWidth="1"/>
    <col min="9" max="9" width="11.77734375" bestFit="1" customWidth="1"/>
    <col min="10" max="10" width="12" bestFit="1" customWidth="1"/>
    <col min="11" max="11" width="20.44140625" bestFit="1" customWidth="1"/>
    <col min="12" max="12" width="14.44140625" bestFit="1" customWidth="1"/>
    <col min="13" max="13" width="15.5546875" bestFit="1" customWidth="1"/>
  </cols>
  <sheetData>
    <row r="1" spans="1:13" ht="18" x14ac:dyDescent="0.35">
      <c r="A1" s="28" t="s">
        <v>29</v>
      </c>
      <c r="B1" s="28"/>
      <c r="C1" s="28"/>
      <c r="D1" s="28"/>
      <c r="E1" s="28"/>
      <c r="F1" s="28"/>
      <c r="G1" s="28"/>
      <c r="H1" s="28"/>
      <c r="I1" s="28"/>
      <c r="J1" s="28"/>
      <c r="K1" s="28"/>
      <c r="L1" s="28"/>
      <c r="M1" s="28"/>
    </row>
    <row r="3" spans="1:13" ht="15.6" x14ac:dyDescent="0.3">
      <c r="A3" s="29" t="s">
        <v>0</v>
      </c>
      <c r="B3" s="29"/>
      <c r="C3" s="29"/>
      <c r="D3" s="29"/>
      <c r="E3" s="29"/>
      <c r="G3" s="1"/>
      <c r="I3" s="29" t="s">
        <v>1</v>
      </c>
      <c r="J3" s="29"/>
      <c r="K3" s="29"/>
      <c r="L3" s="29"/>
      <c r="M3" s="29"/>
    </row>
    <row r="4" spans="1:13" ht="15.6" x14ac:dyDescent="0.3">
      <c r="A4" s="2"/>
      <c r="B4" s="2"/>
      <c r="C4" s="2"/>
      <c r="D4" s="2"/>
      <c r="E4" s="2"/>
      <c r="G4" s="1"/>
      <c r="I4" s="2"/>
      <c r="J4" s="2"/>
      <c r="K4" s="2"/>
      <c r="L4" s="2"/>
      <c r="M4" s="2"/>
    </row>
    <row r="5" spans="1:13" x14ac:dyDescent="0.3">
      <c r="A5" s="26" t="s">
        <v>2</v>
      </c>
      <c r="B5" s="26"/>
      <c r="C5" s="26"/>
      <c r="D5" s="26"/>
      <c r="E5" s="26"/>
      <c r="G5" s="1"/>
      <c r="I5" s="26" t="s">
        <v>2</v>
      </c>
      <c r="J5" s="26"/>
      <c r="K5" s="26"/>
      <c r="L5" s="26"/>
      <c r="M5" s="26"/>
    </row>
    <row r="6" spans="1:13" x14ac:dyDescent="0.3">
      <c r="A6" s="3" t="s">
        <v>3</v>
      </c>
      <c r="B6" s="3" t="s">
        <v>4</v>
      </c>
      <c r="C6" s="3" t="s">
        <v>5</v>
      </c>
      <c r="D6" s="3" t="s">
        <v>6</v>
      </c>
      <c r="E6" s="3" t="s">
        <v>7</v>
      </c>
      <c r="G6" s="1"/>
      <c r="I6" s="3" t="s">
        <v>3</v>
      </c>
      <c r="J6" s="3" t="s">
        <v>4</v>
      </c>
      <c r="K6" s="3" t="s">
        <v>5</v>
      </c>
      <c r="L6" s="3" t="s">
        <v>6</v>
      </c>
      <c r="M6" s="3" t="s">
        <v>7</v>
      </c>
    </row>
    <row r="7" spans="1:13" x14ac:dyDescent="0.3">
      <c r="A7" s="4" t="s">
        <v>8</v>
      </c>
      <c r="B7" s="4">
        <v>-1457.99</v>
      </c>
      <c r="C7" s="4">
        <v>93</v>
      </c>
      <c r="D7" s="4">
        <v>33</v>
      </c>
      <c r="E7" s="4">
        <v>60</v>
      </c>
      <c r="G7" s="1"/>
      <c r="I7" s="4" t="s">
        <v>8</v>
      </c>
      <c r="J7" s="4">
        <v>1376.39</v>
      </c>
      <c r="K7" s="4">
        <v>87</v>
      </c>
      <c r="L7" s="4">
        <v>49</v>
      </c>
      <c r="M7" s="4">
        <v>38</v>
      </c>
    </row>
    <row r="8" spans="1:13" x14ac:dyDescent="0.3">
      <c r="A8" s="4" t="s">
        <v>9</v>
      </c>
      <c r="B8" s="4">
        <v>2065.73</v>
      </c>
      <c r="C8" s="4">
        <v>93</v>
      </c>
      <c r="D8" s="4">
        <v>44</v>
      </c>
      <c r="E8" s="4">
        <v>49</v>
      </c>
      <c r="G8" s="1"/>
      <c r="I8" s="4" t="s">
        <v>9</v>
      </c>
      <c r="J8" s="4">
        <v>-758.26</v>
      </c>
      <c r="K8" s="4">
        <v>90</v>
      </c>
      <c r="L8" s="4">
        <v>41</v>
      </c>
      <c r="M8" s="4">
        <v>49</v>
      </c>
    </row>
    <row r="9" spans="1:13" x14ac:dyDescent="0.3">
      <c r="A9" s="4" t="s">
        <v>10</v>
      </c>
      <c r="B9" s="4">
        <v>496.8</v>
      </c>
      <c r="C9" s="4">
        <v>108</v>
      </c>
      <c r="D9" s="4">
        <v>45</v>
      </c>
      <c r="E9" s="4">
        <v>63</v>
      </c>
      <c r="G9" s="1"/>
      <c r="I9" s="4" t="s">
        <v>10</v>
      </c>
      <c r="J9" s="4">
        <v>-22.9</v>
      </c>
      <c r="K9" s="4">
        <v>102</v>
      </c>
      <c r="L9" s="4">
        <v>46</v>
      </c>
      <c r="M9" s="4">
        <v>56</v>
      </c>
    </row>
    <row r="10" spans="1:13" x14ac:dyDescent="0.3">
      <c r="A10" s="4" t="s">
        <v>11</v>
      </c>
      <c r="B10" s="4">
        <v>2285.0300000000002</v>
      </c>
      <c r="C10" s="4">
        <v>109</v>
      </c>
      <c r="D10" s="4">
        <v>49</v>
      </c>
      <c r="E10" s="4">
        <v>60</v>
      </c>
      <c r="G10" s="1"/>
      <c r="I10" s="4" t="s">
        <v>11</v>
      </c>
      <c r="J10" s="4">
        <v>-659.15</v>
      </c>
      <c r="K10" s="4">
        <v>106</v>
      </c>
      <c r="L10" s="4">
        <v>43</v>
      </c>
      <c r="M10" s="4">
        <v>63</v>
      </c>
    </row>
    <row r="11" spans="1:13" x14ac:dyDescent="0.3">
      <c r="A11" s="4" t="s">
        <v>12</v>
      </c>
      <c r="B11" s="4">
        <v>1758.45</v>
      </c>
      <c r="C11" s="4">
        <v>111</v>
      </c>
      <c r="D11" s="4">
        <v>51</v>
      </c>
      <c r="E11" s="4">
        <v>60</v>
      </c>
      <c r="G11" s="1"/>
      <c r="I11" s="4" t="s">
        <v>12</v>
      </c>
      <c r="J11" s="4">
        <v>-805.7</v>
      </c>
      <c r="K11" s="4">
        <v>106</v>
      </c>
      <c r="L11" s="4">
        <v>41</v>
      </c>
      <c r="M11" s="4">
        <v>65</v>
      </c>
    </row>
    <row r="12" spans="1:13" x14ac:dyDescent="0.3">
      <c r="A12" s="4" t="s">
        <v>13</v>
      </c>
      <c r="B12" s="4">
        <v>2908.97</v>
      </c>
      <c r="C12" s="4">
        <v>102</v>
      </c>
      <c r="D12" s="4">
        <v>47</v>
      </c>
      <c r="E12" s="4">
        <v>55</v>
      </c>
      <c r="G12" s="1"/>
      <c r="I12" s="4" t="s">
        <v>13</v>
      </c>
      <c r="J12" s="4">
        <v>-350.49</v>
      </c>
      <c r="K12" s="4">
        <v>107</v>
      </c>
      <c r="L12" s="4">
        <v>47</v>
      </c>
      <c r="M12" s="4">
        <v>60</v>
      </c>
    </row>
    <row r="13" spans="1:13" x14ac:dyDescent="0.3">
      <c r="A13" s="4" t="s">
        <v>14</v>
      </c>
      <c r="B13" s="4">
        <v>-4092.24</v>
      </c>
      <c r="C13" s="4">
        <v>121</v>
      </c>
      <c r="D13" s="4">
        <v>42</v>
      </c>
      <c r="E13" s="4">
        <v>79</v>
      </c>
      <c r="G13" s="1"/>
      <c r="I13" s="4" t="s">
        <v>14</v>
      </c>
      <c r="J13" s="4">
        <v>6641.69</v>
      </c>
      <c r="K13" s="4">
        <v>111</v>
      </c>
      <c r="L13" s="4">
        <v>59</v>
      </c>
      <c r="M13" s="4">
        <v>52</v>
      </c>
    </row>
    <row r="14" spans="1:13" x14ac:dyDescent="0.3">
      <c r="A14" s="4" t="s">
        <v>15</v>
      </c>
      <c r="B14" s="4">
        <v>-431.28</v>
      </c>
      <c r="C14" s="4">
        <v>113</v>
      </c>
      <c r="D14" s="4">
        <v>42</v>
      </c>
      <c r="E14" s="4">
        <v>71</v>
      </c>
      <c r="G14" s="1"/>
      <c r="I14" s="4" t="s">
        <v>15</v>
      </c>
      <c r="J14" s="4">
        <v>4679.6000000000004</v>
      </c>
      <c r="K14" s="4">
        <v>108</v>
      </c>
      <c r="L14" s="4">
        <v>53</v>
      </c>
      <c r="M14" s="4">
        <v>55</v>
      </c>
    </row>
    <row r="15" spans="1:13" x14ac:dyDescent="0.3">
      <c r="A15" s="4" t="s">
        <v>16</v>
      </c>
      <c r="B15" s="4">
        <v>-2580.86</v>
      </c>
      <c r="C15" s="4">
        <v>117</v>
      </c>
      <c r="D15" s="4">
        <v>36</v>
      </c>
      <c r="E15" s="4">
        <v>81</v>
      </c>
      <c r="G15" s="1"/>
      <c r="I15" s="4" t="s">
        <v>16</v>
      </c>
      <c r="J15" s="4">
        <v>3433.32</v>
      </c>
      <c r="K15" s="4">
        <v>110</v>
      </c>
      <c r="L15" s="4">
        <v>51</v>
      </c>
      <c r="M15" s="4">
        <v>59</v>
      </c>
    </row>
    <row r="16" spans="1:13" x14ac:dyDescent="0.3">
      <c r="A16" s="4" t="s">
        <v>17</v>
      </c>
      <c r="B16" s="4">
        <v>3405.08</v>
      </c>
      <c r="C16" s="4">
        <v>124</v>
      </c>
      <c r="D16" s="4">
        <v>54</v>
      </c>
      <c r="E16" s="4">
        <v>70</v>
      </c>
      <c r="G16" s="1"/>
      <c r="I16" s="4" t="s">
        <v>17</v>
      </c>
      <c r="J16" s="4">
        <v>-5185.1099999999997</v>
      </c>
      <c r="K16" s="4">
        <v>124</v>
      </c>
      <c r="L16" s="4">
        <v>39</v>
      </c>
      <c r="M16" s="4">
        <v>85</v>
      </c>
    </row>
    <row r="17" spans="1:13" x14ac:dyDescent="0.3">
      <c r="A17" s="24" t="s">
        <v>23</v>
      </c>
      <c r="B17" s="24"/>
      <c r="C17" s="7">
        <f>SUM(C7:C16)</f>
        <v>1091</v>
      </c>
      <c r="D17" s="7">
        <f>SUM(D7:D16)</f>
        <v>443</v>
      </c>
      <c r="E17" s="7">
        <f>SUM(E7:E16)</f>
        <v>648</v>
      </c>
      <c r="G17" s="1"/>
      <c r="I17" s="24" t="s">
        <v>23</v>
      </c>
      <c r="J17" s="24"/>
      <c r="K17" s="7">
        <f>SUM(K7:K16)</f>
        <v>1051</v>
      </c>
      <c r="L17" s="7">
        <f>SUM(L7:L16)</f>
        <v>469</v>
      </c>
      <c r="M17" s="7">
        <f>SUM(M7:M16)</f>
        <v>582</v>
      </c>
    </row>
    <row r="18" spans="1:13" x14ac:dyDescent="0.3">
      <c r="G18" s="1"/>
    </row>
    <row r="19" spans="1:13" x14ac:dyDescent="0.3">
      <c r="A19" s="26" t="s">
        <v>18</v>
      </c>
      <c r="B19" s="26"/>
      <c r="C19" s="26"/>
      <c r="D19" s="26"/>
      <c r="E19" s="26"/>
      <c r="G19" s="1"/>
      <c r="I19" s="26" t="s">
        <v>18</v>
      </c>
      <c r="J19" s="26"/>
      <c r="K19" s="26"/>
      <c r="L19" s="26"/>
      <c r="M19" s="26"/>
    </row>
    <row r="20" spans="1:13" x14ac:dyDescent="0.3">
      <c r="A20" s="3" t="s">
        <v>3</v>
      </c>
      <c r="B20" s="3" t="s">
        <v>4</v>
      </c>
      <c r="C20" s="3" t="s">
        <v>5</v>
      </c>
      <c r="D20" s="3" t="s">
        <v>6</v>
      </c>
      <c r="E20" s="3" t="s">
        <v>7</v>
      </c>
      <c r="G20" s="1"/>
      <c r="I20" s="3" t="s">
        <v>3</v>
      </c>
      <c r="J20" s="3" t="s">
        <v>4</v>
      </c>
      <c r="K20" s="3" t="s">
        <v>5</v>
      </c>
      <c r="L20" s="3" t="s">
        <v>6</v>
      </c>
      <c r="M20" s="3" t="s">
        <v>7</v>
      </c>
    </row>
    <row r="21" spans="1:13" x14ac:dyDescent="0.3">
      <c r="A21" s="4" t="s">
        <v>8</v>
      </c>
      <c r="B21" s="4">
        <v>-1052.5</v>
      </c>
      <c r="C21" s="4">
        <v>87</v>
      </c>
      <c r="D21" s="4">
        <v>42</v>
      </c>
      <c r="E21" s="4">
        <v>45</v>
      </c>
      <c r="G21" s="1"/>
      <c r="I21" s="4" t="s">
        <v>8</v>
      </c>
      <c r="J21" s="4">
        <v>-765.29</v>
      </c>
      <c r="K21" s="4">
        <v>88</v>
      </c>
      <c r="L21" s="4">
        <v>44</v>
      </c>
      <c r="M21" s="4">
        <v>44</v>
      </c>
    </row>
    <row r="22" spans="1:13" x14ac:dyDescent="0.3">
      <c r="A22" s="4" t="s">
        <v>9</v>
      </c>
      <c r="B22" s="4">
        <v>-1709.98</v>
      </c>
      <c r="C22" s="4">
        <v>88</v>
      </c>
      <c r="D22" s="4">
        <v>37</v>
      </c>
      <c r="E22" s="4">
        <v>51</v>
      </c>
      <c r="G22" s="1"/>
      <c r="I22" s="4" t="s">
        <v>9</v>
      </c>
      <c r="J22" s="4">
        <v>-129.68</v>
      </c>
      <c r="K22" s="4">
        <v>83</v>
      </c>
      <c r="L22" s="4">
        <v>42</v>
      </c>
      <c r="M22" s="4">
        <v>41</v>
      </c>
    </row>
    <row r="23" spans="1:13" x14ac:dyDescent="0.3">
      <c r="A23" s="4" t="s">
        <v>10</v>
      </c>
      <c r="B23" s="4">
        <v>-979.84</v>
      </c>
      <c r="C23" s="4">
        <v>95</v>
      </c>
      <c r="D23" s="4">
        <v>43</v>
      </c>
      <c r="E23" s="4">
        <v>52</v>
      </c>
      <c r="G23" s="1"/>
      <c r="I23" s="4" t="s">
        <v>10</v>
      </c>
      <c r="J23" s="4">
        <v>-839.45</v>
      </c>
      <c r="K23" s="4">
        <v>94</v>
      </c>
      <c r="L23" s="4">
        <v>40</v>
      </c>
      <c r="M23" s="4">
        <v>54</v>
      </c>
    </row>
    <row r="24" spans="1:13" x14ac:dyDescent="0.3">
      <c r="A24" s="4" t="s">
        <v>11</v>
      </c>
      <c r="B24" s="4">
        <v>-865.98</v>
      </c>
      <c r="C24" s="4">
        <v>100</v>
      </c>
      <c r="D24" s="4">
        <v>44</v>
      </c>
      <c r="E24" s="4">
        <v>56</v>
      </c>
      <c r="G24" s="1"/>
      <c r="I24" s="4" t="s">
        <v>11</v>
      </c>
      <c r="J24" s="4">
        <v>-1095.69</v>
      </c>
      <c r="K24" s="4">
        <v>88</v>
      </c>
      <c r="L24" s="4">
        <v>40</v>
      </c>
      <c r="M24" s="4">
        <v>48</v>
      </c>
    </row>
    <row r="25" spans="1:13" x14ac:dyDescent="0.3">
      <c r="A25" s="4" t="s">
        <v>12</v>
      </c>
      <c r="B25" s="4">
        <v>1630.7</v>
      </c>
      <c r="C25" s="4">
        <v>98</v>
      </c>
      <c r="D25" s="4">
        <v>48</v>
      </c>
      <c r="E25" s="4">
        <v>50</v>
      </c>
      <c r="G25" s="1"/>
      <c r="I25" s="4" t="s">
        <v>12</v>
      </c>
      <c r="J25" s="4">
        <v>-71.55</v>
      </c>
      <c r="K25" s="4">
        <v>98</v>
      </c>
      <c r="L25" s="4">
        <v>41</v>
      </c>
      <c r="M25" s="4">
        <v>57</v>
      </c>
    </row>
    <row r="26" spans="1:13" x14ac:dyDescent="0.3">
      <c r="A26" s="4" t="s">
        <v>13</v>
      </c>
      <c r="B26" s="4">
        <v>-1789.03</v>
      </c>
      <c r="C26" s="4">
        <v>119</v>
      </c>
      <c r="D26" s="4">
        <v>50</v>
      </c>
      <c r="E26" s="4">
        <v>69</v>
      </c>
      <c r="G26" s="1"/>
      <c r="I26" s="4" t="s">
        <v>13</v>
      </c>
      <c r="J26" s="4">
        <v>2903.9</v>
      </c>
      <c r="K26" s="4">
        <v>104</v>
      </c>
      <c r="L26" s="4">
        <v>55</v>
      </c>
      <c r="M26" s="4">
        <v>49</v>
      </c>
    </row>
    <row r="27" spans="1:13" x14ac:dyDescent="0.3">
      <c r="A27" s="4" t="s">
        <v>14</v>
      </c>
      <c r="B27" s="4">
        <v>-1945.04</v>
      </c>
      <c r="C27" s="4">
        <v>125</v>
      </c>
      <c r="D27" s="4">
        <v>44</v>
      </c>
      <c r="E27" s="4">
        <v>81</v>
      </c>
      <c r="G27" s="1"/>
      <c r="I27" s="4" t="s">
        <v>14</v>
      </c>
      <c r="J27" s="4">
        <v>2090.44</v>
      </c>
      <c r="K27" s="4">
        <v>109</v>
      </c>
      <c r="L27" s="4">
        <v>50</v>
      </c>
      <c r="M27" s="4">
        <v>59</v>
      </c>
    </row>
    <row r="28" spans="1:13" x14ac:dyDescent="0.3">
      <c r="A28" s="4" t="s">
        <v>15</v>
      </c>
      <c r="B28" s="4">
        <v>-6724.21</v>
      </c>
      <c r="C28" s="4">
        <v>126</v>
      </c>
      <c r="D28" s="4">
        <v>34</v>
      </c>
      <c r="E28" s="4">
        <v>92</v>
      </c>
      <c r="G28" s="1"/>
      <c r="I28" s="4" t="s">
        <v>15</v>
      </c>
      <c r="J28" s="4">
        <v>6473.63</v>
      </c>
      <c r="K28" s="4">
        <v>102</v>
      </c>
      <c r="L28" s="4">
        <v>54</v>
      </c>
      <c r="M28" s="4">
        <v>48</v>
      </c>
    </row>
    <row r="29" spans="1:13" x14ac:dyDescent="0.3">
      <c r="A29" s="4" t="s">
        <v>16</v>
      </c>
      <c r="B29" s="4">
        <v>-4335.8100000000004</v>
      </c>
      <c r="C29" s="4">
        <v>127</v>
      </c>
      <c r="D29" s="4">
        <v>38</v>
      </c>
      <c r="E29" s="4">
        <v>89</v>
      </c>
      <c r="G29" s="1"/>
      <c r="I29" s="4" t="s">
        <v>16</v>
      </c>
      <c r="J29" s="4">
        <v>2862.43</v>
      </c>
      <c r="K29" s="4">
        <v>115</v>
      </c>
      <c r="L29" s="4">
        <v>59</v>
      </c>
      <c r="M29" s="4">
        <v>56</v>
      </c>
    </row>
    <row r="30" spans="1:13" x14ac:dyDescent="0.3">
      <c r="A30" s="4" t="s">
        <v>17</v>
      </c>
      <c r="B30" s="4">
        <v>-3186.32</v>
      </c>
      <c r="C30" s="4">
        <v>132</v>
      </c>
      <c r="D30" s="4">
        <v>46</v>
      </c>
      <c r="E30" s="4">
        <v>86</v>
      </c>
      <c r="G30" s="1"/>
      <c r="I30" s="4" t="s">
        <v>17</v>
      </c>
      <c r="J30" s="4">
        <v>4377.72</v>
      </c>
      <c r="K30" s="4">
        <v>119</v>
      </c>
      <c r="L30" s="4">
        <v>59</v>
      </c>
      <c r="M30" s="4">
        <v>60</v>
      </c>
    </row>
    <row r="31" spans="1:13" x14ac:dyDescent="0.3">
      <c r="A31" s="24" t="s">
        <v>23</v>
      </c>
      <c r="B31" s="24"/>
      <c r="C31" s="7">
        <f>SUM(C21:C30)</f>
        <v>1097</v>
      </c>
      <c r="D31" s="7">
        <f>SUM(D21:D30)</f>
        <v>426</v>
      </c>
      <c r="E31" s="7">
        <f>SUM(E21:E30)</f>
        <v>671</v>
      </c>
      <c r="G31" s="1"/>
      <c r="I31" s="24" t="s">
        <v>23</v>
      </c>
      <c r="J31" s="24"/>
      <c r="K31" s="7">
        <f>SUM(K21:K30)</f>
        <v>1000</v>
      </c>
      <c r="L31" s="7">
        <f>SUM(L21:L30)</f>
        <v>484</v>
      </c>
      <c r="M31" s="7">
        <f>SUM(M21:M30)</f>
        <v>516</v>
      </c>
    </row>
    <row r="32" spans="1:13" x14ac:dyDescent="0.3">
      <c r="G32" s="1"/>
    </row>
    <row r="33" spans="1:13" x14ac:dyDescent="0.3">
      <c r="A33" s="26" t="s">
        <v>19</v>
      </c>
      <c r="B33" s="26"/>
      <c r="C33" s="26"/>
      <c r="D33" s="26"/>
      <c r="E33" s="26"/>
      <c r="G33" s="1"/>
      <c r="I33" s="27" t="s">
        <v>19</v>
      </c>
      <c r="J33" s="27"/>
      <c r="K33" s="27"/>
      <c r="L33" s="27"/>
      <c r="M33" s="27"/>
    </row>
    <row r="34" spans="1:13" x14ac:dyDescent="0.3">
      <c r="A34" s="3" t="s">
        <v>3</v>
      </c>
      <c r="B34" s="3" t="s">
        <v>4</v>
      </c>
      <c r="C34" s="3" t="s">
        <v>5</v>
      </c>
      <c r="D34" s="3" t="s">
        <v>6</v>
      </c>
      <c r="E34" s="3" t="s">
        <v>7</v>
      </c>
      <c r="G34" s="1"/>
      <c r="I34" s="3" t="s">
        <v>3</v>
      </c>
      <c r="J34" s="3" t="s">
        <v>4</v>
      </c>
      <c r="K34" s="3" t="s">
        <v>5</v>
      </c>
      <c r="L34" s="3" t="s">
        <v>6</v>
      </c>
      <c r="M34" s="3" t="s">
        <v>7</v>
      </c>
    </row>
    <row r="35" spans="1:13" x14ac:dyDescent="0.3">
      <c r="A35" s="4" t="s">
        <v>8</v>
      </c>
      <c r="B35" s="4">
        <v>-209.79</v>
      </c>
      <c r="C35" s="4">
        <v>90</v>
      </c>
      <c r="D35" s="4">
        <v>41</v>
      </c>
      <c r="E35" s="4">
        <v>49</v>
      </c>
      <c r="G35" s="1"/>
      <c r="I35" s="4" t="s">
        <v>8</v>
      </c>
      <c r="J35" s="4">
        <v>743.54</v>
      </c>
      <c r="K35" s="4">
        <v>84</v>
      </c>
      <c r="L35" s="4">
        <v>40</v>
      </c>
      <c r="M35" s="4">
        <v>44</v>
      </c>
    </row>
    <row r="36" spans="1:13" x14ac:dyDescent="0.3">
      <c r="A36" s="4" t="s">
        <v>9</v>
      </c>
      <c r="B36" s="4">
        <v>547.35</v>
      </c>
      <c r="C36" s="4">
        <v>80</v>
      </c>
      <c r="D36" s="4">
        <v>40</v>
      </c>
      <c r="E36" s="4">
        <v>40</v>
      </c>
      <c r="G36" s="1"/>
      <c r="I36" s="4" t="s">
        <v>9</v>
      </c>
      <c r="J36" s="4">
        <v>637.24</v>
      </c>
      <c r="K36" s="4">
        <v>83</v>
      </c>
      <c r="L36" s="4">
        <v>38</v>
      </c>
      <c r="M36" s="4">
        <v>45</v>
      </c>
    </row>
    <row r="37" spans="1:13" x14ac:dyDescent="0.3">
      <c r="A37" s="4" t="s">
        <v>10</v>
      </c>
      <c r="B37" s="4">
        <v>769.5</v>
      </c>
      <c r="C37" s="4">
        <v>93</v>
      </c>
      <c r="D37" s="4">
        <v>44</v>
      </c>
      <c r="E37" s="4">
        <v>49</v>
      </c>
      <c r="G37" s="1"/>
      <c r="I37" s="4" t="s">
        <v>10</v>
      </c>
      <c r="J37" s="4">
        <v>-551.75</v>
      </c>
      <c r="K37" s="4">
        <v>82</v>
      </c>
      <c r="L37" s="4">
        <v>36</v>
      </c>
      <c r="M37" s="4">
        <v>46</v>
      </c>
    </row>
    <row r="38" spans="1:13" x14ac:dyDescent="0.3">
      <c r="A38" s="4" t="s">
        <v>11</v>
      </c>
      <c r="B38" s="4">
        <v>1274.1300000000001</v>
      </c>
      <c r="C38" s="4">
        <v>94</v>
      </c>
      <c r="D38" s="4">
        <v>45</v>
      </c>
      <c r="E38" s="4">
        <v>49</v>
      </c>
      <c r="G38" s="1"/>
      <c r="I38" s="4" t="s">
        <v>11</v>
      </c>
      <c r="J38" s="4">
        <v>2687.84</v>
      </c>
      <c r="K38" s="4">
        <v>91</v>
      </c>
      <c r="L38" s="4">
        <v>45</v>
      </c>
      <c r="M38" s="4">
        <v>46</v>
      </c>
    </row>
    <row r="39" spans="1:13" x14ac:dyDescent="0.3">
      <c r="A39" s="4" t="s">
        <v>12</v>
      </c>
      <c r="B39" s="4">
        <v>145.69999999999999</v>
      </c>
      <c r="C39" s="4">
        <v>87</v>
      </c>
      <c r="D39" s="4">
        <v>37</v>
      </c>
      <c r="E39" s="4">
        <v>50</v>
      </c>
      <c r="G39" s="1"/>
      <c r="I39" s="4" t="s">
        <v>12</v>
      </c>
      <c r="J39" s="4">
        <v>-1092.45</v>
      </c>
      <c r="K39" s="4">
        <v>88</v>
      </c>
      <c r="L39" s="4">
        <v>37</v>
      </c>
      <c r="M39" s="4">
        <v>51</v>
      </c>
    </row>
    <row r="40" spans="1:13" x14ac:dyDescent="0.3">
      <c r="A40" s="4" t="s">
        <v>13</v>
      </c>
      <c r="B40" s="4">
        <v>3187.99</v>
      </c>
      <c r="C40" s="4">
        <v>92</v>
      </c>
      <c r="D40" s="4">
        <v>44</v>
      </c>
      <c r="E40" s="4">
        <v>48</v>
      </c>
      <c r="G40" s="1"/>
      <c r="I40" s="4" t="s">
        <v>13</v>
      </c>
      <c r="J40" s="4">
        <v>1838.85</v>
      </c>
      <c r="K40" s="4">
        <v>89</v>
      </c>
      <c r="L40" s="4">
        <v>46</v>
      </c>
      <c r="M40" s="4">
        <v>43</v>
      </c>
    </row>
    <row r="41" spans="1:13" x14ac:dyDescent="0.3">
      <c r="A41" s="4" t="s">
        <v>14</v>
      </c>
      <c r="B41" s="4">
        <v>-2483.09</v>
      </c>
      <c r="C41" s="4">
        <v>121</v>
      </c>
      <c r="D41" s="4">
        <v>43</v>
      </c>
      <c r="E41" s="4">
        <v>78</v>
      </c>
      <c r="G41" s="1"/>
      <c r="I41" s="4" t="s">
        <v>14</v>
      </c>
      <c r="J41" s="4">
        <v>2899.39</v>
      </c>
      <c r="K41" s="4">
        <v>107</v>
      </c>
      <c r="L41" s="4">
        <v>55</v>
      </c>
      <c r="M41" s="4">
        <v>52</v>
      </c>
    </row>
    <row r="42" spans="1:13" x14ac:dyDescent="0.3">
      <c r="A42" s="4" t="s">
        <v>15</v>
      </c>
      <c r="B42" s="4">
        <v>-621.19000000000005</v>
      </c>
      <c r="C42" s="4">
        <v>109</v>
      </c>
      <c r="D42" s="4">
        <v>42</v>
      </c>
      <c r="E42" s="4">
        <v>67</v>
      </c>
      <c r="G42" s="1"/>
      <c r="I42" s="4" t="s">
        <v>15</v>
      </c>
      <c r="J42" s="4">
        <v>4477.09</v>
      </c>
      <c r="K42" s="4">
        <v>104</v>
      </c>
      <c r="L42" s="4">
        <v>54</v>
      </c>
      <c r="M42" s="4">
        <v>50</v>
      </c>
    </row>
    <row r="43" spans="1:13" x14ac:dyDescent="0.3">
      <c r="A43" s="4" t="s">
        <v>16</v>
      </c>
      <c r="B43" s="4">
        <v>-3688.57</v>
      </c>
      <c r="C43" s="4">
        <v>104</v>
      </c>
      <c r="D43" s="4">
        <v>32</v>
      </c>
      <c r="E43" s="4">
        <v>72</v>
      </c>
      <c r="G43" s="1"/>
      <c r="I43" s="4" t="s">
        <v>16</v>
      </c>
      <c r="J43" s="4">
        <v>3472.92</v>
      </c>
      <c r="K43" s="4">
        <v>99</v>
      </c>
      <c r="L43" s="4">
        <v>51</v>
      </c>
      <c r="M43" s="4">
        <v>48</v>
      </c>
    </row>
    <row r="44" spans="1:13" x14ac:dyDescent="0.3">
      <c r="A44" s="4" t="s">
        <v>17</v>
      </c>
      <c r="B44" s="4">
        <v>-1945.41</v>
      </c>
      <c r="C44" s="4">
        <v>108</v>
      </c>
      <c r="D44" s="4">
        <v>42</v>
      </c>
      <c r="E44" s="4">
        <v>66</v>
      </c>
      <c r="G44" s="1"/>
      <c r="I44" s="4" t="s">
        <v>17</v>
      </c>
      <c r="J44" s="4">
        <v>3330.84</v>
      </c>
      <c r="K44" s="4">
        <v>100</v>
      </c>
      <c r="L44" s="4">
        <v>49</v>
      </c>
      <c r="M44" s="4">
        <v>51</v>
      </c>
    </row>
    <row r="45" spans="1:13" x14ac:dyDescent="0.3">
      <c r="A45" s="24" t="s">
        <v>23</v>
      </c>
      <c r="B45" s="24"/>
      <c r="C45" s="7">
        <f>SUM(C35:C44)</f>
        <v>978</v>
      </c>
      <c r="D45" s="7">
        <f>SUM(D35:D44)</f>
        <v>410</v>
      </c>
      <c r="E45" s="7">
        <f>SUM(E35:E44)</f>
        <v>568</v>
      </c>
      <c r="G45" s="1"/>
      <c r="I45" s="24" t="s">
        <v>23</v>
      </c>
      <c r="J45" s="24"/>
      <c r="K45" s="7">
        <f>SUM(K35:K44)</f>
        <v>927</v>
      </c>
      <c r="L45" s="7">
        <f>SUM(L35:L44)</f>
        <v>451</v>
      </c>
      <c r="M45" s="7">
        <f>SUM(M35:M44)</f>
        <v>476</v>
      </c>
    </row>
    <row r="46" spans="1:13" x14ac:dyDescent="0.3">
      <c r="G46" s="1"/>
    </row>
    <row r="47" spans="1:13" x14ac:dyDescent="0.3">
      <c r="A47" s="26" t="s">
        <v>20</v>
      </c>
      <c r="B47" s="26"/>
      <c r="C47" s="26"/>
      <c r="D47" s="26"/>
      <c r="E47" s="26"/>
      <c r="G47" s="1"/>
      <c r="I47" s="26" t="s">
        <v>20</v>
      </c>
      <c r="J47" s="26"/>
      <c r="K47" s="26"/>
      <c r="L47" s="26"/>
      <c r="M47" s="26"/>
    </row>
    <row r="48" spans="1:13" x14ac:dyDescent="0.3">
      <c r="A48" s="3" t="s">
        <v>3</v>
      </c>
      <c r="B48" s="3" t="s">
        <v>4</v>
      </c>
      <c r="C48" s="3" t="s">
        <v>5</v>
      </c>
      <c r="D48" s="3" t="s">
        <v>6</v>
      </c>
      <c r="E48" s="3" t="s">
        <v>7</v>
      </c>
      <c r="G48" s="1"/>
      <c r="I48" s="3" t="s">
        <v>3</v>
      </c>
      <c r="J48" s="3" t="s">
        <v>4</v>
      </c>
      <c r="K48" s="3" t="s">
        <v>5</v>
      </c>
      <c r="L48" s="3" t="s">
        <v>6</v>
      </c>
      <c r="M48" s="3" t="s">
        <v>7</v>
      </c>
    </row>
    <row r="49" spans="1:13" x14ac:dyDescent="0.3">
      <c r="A49" s="4" t="s">
        <v>8</v>
      </c>
      <c r="B49" s="4">
        <v>-55.59</v>
      </c>
      <c r="C49" s="4">
        <v>96</v>
      </c>
      <c r="D49" s="4">
        <v>41</v>
      </c>
      <c r="E49" s="4">
        <v>55</v>
      </c>
      <c r="G49" s="1"/>
      <c r="I49" s="4" t="s">
        <v>8</v>
      </c>
      <c r="J49" s="4">
        <v>-927.85</v>
      </c>
      <c r="K49" s="4">
        <v>92</v>
      </c>
      <c r="L49" s="4">
        <v>34</v>
      </c>
      <c r="M49" s="4">
        <v>58</v>
      </c>
    </row>
    <row r="50" spans="1:13" x14ac:dyDescent="0.3">
      <c r="A50" s="4" t="s">
        <v>9</v>
      </c>
      <c r="B50" s="4">
        <v>391.03</v>
      </c>
      <c r="C50" s="4">
        <v>97</v>
      </c>
      <c r="D50" s="4">
        <v>45</v>
      </c>
      <c r="E50" s="4">
        <v>52</v>
      </c>
      <c r="G50" s="1"/>
      <c r="I50" s="4" t="s">
        <v>9</v>
      </c>
      <c r="J50" s="4">
        <v>2641.94</v>
      </c>
      <c r="K50" s="4">
        <v>88</v>
      </c>
      <c r="L50" s="4">
        <v>42</v>
      </c>
      <c r="M50" s="4">
        <v>46</v>
      </c>
    </row>
    <row r="51" spans="1:13" x14ac:dyDescent="0.3">
      <c r="A51" s="4" t="s">
        <v>10</v>
      </c>
      <c r="B51" s="4">
        <v>-1419.99</v>
      </c>
      <c r="C51" s="4">
        <v>98</v>
      </c>
      <c r="D51" s="4">
        <v>41</v>
      </c>
      <c r="E51" s="4">
        <v>57</v>
      </c>
      <c r="G51" s="1"/>
      <c r="I51" s="4" t="s">
        <v>10</v>
      </c>
      <c r="J51" s="4">
        <v>-1515.5</v>
      </c>
      <c r="K51" s="4">
        <v>97</v>
      </c>
      <c r="L51" s="4">
        <v>38</v>
      </c>
      <c r="M51" s="4">
        <v>59</v>
      </c>
    </row>
    <row r="52" spans="1:13" x14ac:dyDescent="0.3">
      <c r="A52" s="4" t="s">
        <v>11</v>
      </c>
      <c r="B52" s="4">
        <v>2886.6</v>
      </c>
      <c r="C52" s="4">
        <v>108</v>
      </c>
      <c r="D52" s="4">
        <v>48</v>
      </c>
      <c r="E52" s="4">
        <v>60</v>
      </c>
      <c r="G52" s="1"/>
      <c r="I52" s="4" t="s">
        <v>11</v>
      </c>
      <c r="J52" s="4">
        <v>1014.93</v>
      </c>
      <c r="K52" s="4">
        <v>101</v>
      </c>
      <c r="L52" s="4">
        <v>43</v>
      </c>
      <c r="M52" s="4">
        <v>58</v>
      </c>
    </row>
    <row r="53" spans="1:13" x14ac:dyDescent="0.3">
      <c r="A53" s="4" t="s">
        <v>12</v>
      </c>
      <c r="B53" s="4">
        <v>1470.6</v>
      </c>
      <c r="C53" s="4">
        <v>113</v>
      </c>
      <c r="D53" s="4">
        <v>50</v>
      </c>
      <c r="E53" s="4">
        <v>63</v>
      </c>
      <c r="G53" s="1"/>
      <c r="I53" s="4" t="s">
        <v>12</v>
      </c>
      <c r="J53" s="4">
        <v>4668.84</v>
      </c>
      <c r="K53" s="4">
        <v>99</v>
      </c>
      <c r="L53" s="4">
        <v>50</v>
      </c>
      <c r="M53" s="4">
        <v>49</v>
      </c>
    </row>
    <row r="54" spans="1:13" x14ac:dyDescent="0.3">
      <c r="A54" s="4" t="s">
        <v>13</v>
      </c>
      <c r="B54" s="4">
        <v>-6.39</v>
      </c>
      <c r="C54" s="4">
        <v>97</v>
      </c>
      <c r="D54" s="4">
        <v>37</v>
      </c>
      <c r="E54" s="4">
        <v>60</v>
      </c>
      <c r="G54" s="1"/>
      <c r="I54" s="4" t="s">
        <v>13</v>
      </c>
      <c r="J54" s="4">
        <v>1735.49</v>
      </c>
      <c r="K54" s="4">
        <v>96</v>
      </c>
      <c r="L54" s="4">
        <v>45</v>
      </c>
      <c r="M54" s="4">
        <v>51</v>
      </c>
    </row>
    <row r="55" spans="1:13" x14ac:dyDescent="0.3">
      <c r="A55" s="4" t="s">
        <v>14</v>
      </c>
      <c r="B55" s="4">
        <v>-902.14</v>
      </c>
      <c r="C55" s="4">
        <v>105</v>
      </c>
      <c r="D55" s="4">
        <v>42</v>
      </c>
      <c r="E55" s="4">
        <v>63</v>
      </c>
      <c r="G55" s="1"/>
      <c r="I55" s="4" t="s">
        <v>14</v>
      </c>
      <c r="J55" s="4">
        <v>-1853.2</v>
      </c>
      <c r="K55" s="4">
        <v>115</v>
      </c>
      <c r="L55" s="4">
        <v>47</v>
      </c>
      <c r="M55" s="4">
        <v>68</v>
      </c>
    </row>
    <row r="56" spans="1:13" x14ac:dyDescent="0.3">
      <c r="A56" s="4" t="s">
        <v>15</v>
      </c>
      <c r="B56" s="4">
        <v>-608.11</v>
      </c>
      <c r="C56" s="4">
        <v>128</v>
      </c>
      <c r="D56" s="4">
        <v>49</v>
      </c>
      <c r="E56" s="4">
        <v>79</v>
      </c>
      <c r="G56" s="1"/>
      <c r="I56" s="4" t="s">
        <v>15</v>
      </c>
      <c r="J56" s="4">
        <v>-6.7</v>
      </c>
      <c r="K56" s="4">
        <v>122</v>
      </c>
      <c r="L56" s="4">
        <v>48</v>
      </c>
      <c r="M56" s="4">
        <v>74</v>
      </c>
    </row>
    <row r="57" spans="1:13" x14ac:dyDescent="0.3">
      <c r="A57" s="4" t="s">
        <v>16</v>
      </c>
      <c r="B57" s="4">
        <v>-5517.73</v>
      </c>
      <c r="C57" s="4">
        <v>123</v>
      </c>
      <c r="D57" s="4">
        <v>37</v>
      </c>
      <c r="E57" s="4">
        <v>86</v>
      </c>
      <c r="G57" s="1"/>
      <c r="I57" s="4" t="s">
        <v>16</v>
      </c>
      <c r="J57" s="4">
        <v>229.14</v>
      </c>
      <c r="K57" s="4">
        <v>113</v>
      </c>
      <c r="L57" s="4">
        <v>46</v>
      </c>
      <c r="M57" s="4">
        <v>67</v>
      </c>
    </row>
    <row r="58" spans="1:13" x14ac:dyDescent="0.3">
      <c r="A58" s="4" t="s">
        <v>17</v>
      </c>
      <c r="B58" s="4">
        <v>-2720.15</v>
      </c>
      <c r="C58" s="4">
        <v>114</v>
      </c>
      <c r="D58" s="4">
        <v>44</v>
      </c>
      <c r="E58" s="4">
        <v>70</v>
      </c>
      <c r="G58" s="1"/>
      <c r="I58" s="4" t="s">
        <v>17</v>
      </c>
      <c r="J58" s="4">
        <v>3183.71</v>
      </c>
      <c r="K58" s="4">
        <v>95</v>
      </c>
      <c r="L58" s="4">
        <v>42</v>
      </c>
      <c r="M58" s="4">
        <v>53</v>
      </c>
    </row>
    <row r="59" spans="1:13" x14ac:dyDescent="0.3">
      <c r="A59" s="24" t="s">
        <v>23</v>
      </c>
      <c r="B59" s="24"/>
      <c r="C59" s="7">
        <f>SUM(C49:C58)</f>
        <v>1079</v>
      </c>
      <c r="D59" s="7">
        <f>SUM(D49:D58)</f>
        <v>434</v>
      </c>
      <c r="E59" s="7">
        <f>SUM(E49:E58)</f>
        <v>645</v>
      </c>
      <c r="I59" s="24" t="s">
        <v>23</v>
      </c>
      <c r="J59" s="24"/>
      <c r="K59" s="7">
        <f>SUM(K49:K58)</f>
        <v>1018</v>
      </c>
      <c r="L59" s="7">
        <f>SUM(L49:L58)</f>
        <v>435</v>
      </c>
      <c r="M59" s="7">
        <f>SUM(M49:M58)</f>
        <v>583</v>
      </c>
    </row>
    <row r="61" spans="1:13" x14ac:dyDescent="0.3">
      <c r="A61" s="25" t="s">
        <v>22</v>
      </c>
      <c r="B61" s="25"/>
      <c r="C61" s="8">
        <f>C59+C45+C31+C17</f>
        <v>4245</v>
      </c>
      <c r="D61" s="8">
        <f t="shared" ref="D61:E61" si="0">D59+D45+D31+D17</f>
        <v>1713</v>
      </c>
      <c r="E61" s="8">
        <f t="shared" si="0"/>
        <v>2532</v>
      </c>
      <c r="I61" s="25" t="s">
        <v>31</v>
      </c>
      <c r="J61" s="25"/>
      <c r="K61" s="8">
        <f>K59+K45+K31+K17</f>
        <v>3996</v>
      </c>
      <c r="L61" s="8">
        <f t="shared" ref="L61:M61" si="1">L59+L45+L31+L17</f>
        <v>1839</v>
      </c>
      <c r="M61" s="8">
        <f t="shared" si="1"/>
        <v>2157</v>
      </c>
    </row>
    <row r="65" spans="3:10" x14ac:dyDescent="0.3">
      <c r="E65" s="23" t="s">
        <v>35</v>
      </c>
      <c r="F65" s="23"/>
      <c r="I65" s="23" t="s">
        <v>37</v>
      </c>
      <c r="J65" s="23"/>
    </row>
    <row r="66" spans="3:10" x14ac:dyDescent="0.3">
      <c r="C66" s="5"/>
      <c r="E66" s="10" t="s">
        <v>32</v>
      </c>
      <c r="F66" s="10">
        <f>C61+K61</f>
        <v>8241</v>
      </c>
      <c r="I66" s="10" t="s">
        <v>36</v>
      </c>
      <c r="J66" s="11">
        <f>F67/F66</f>
        <v>0.4310156534401165</v>
      </c>
    </row>
    <row r="67" spans="3:10" x14ac:dyDescent="0.3">
      <c r="C67" s="5"/>
      <c r="E67" s="10" t="s">
        <v>33</v>
      </c>
      <c r="F67" s="10">
        <f>D61+L61</f>
        <v>3552</v>
      </c>
      <c r="I67" s="10" t="s">
        <v>34</v>
      </c>
      <c r="J67" s="11">
        <f>F68/F66</f>
        <v>0.5689843465598835</v>
      </c>
    </row>
    <row r="68" spans="3:10" x14ac:dyDescent="0.3">
      <c r="C68" s="6"/>
      <c r="E68" s="10" t="s">
        <v>34</v>
      </c>
      <c r="F68" s="10">
        <f>E61+M61</f>
        <v>4689</v>
      </c>
    </row>
  </sheetData>
  <mergeCells count="23">
    <mergeCell ref="I45:J45"/>
    <mergeCell ref="A33:E33"/>
    <mergeCell ref="I33:M33"/>
    <mergeCell ref="A47:E47"/>
    <mergeCell ref="I47:M47"/>
    <mergeCell ref="A1:M1"/>
    <mergeCell ref="A3:E3"/>
    <mergeCell ref="I3:M3"/>
    <mergeCell ref="A5:E5"/>
    <mergeCell ref="I5:M5"/>
    <mergeCell ref="A19:E19"/>
    <mergeCell ref="I19:M19"/>
    <mergeCell ref="A17:B17"/>
    <mergeCell ref="I17:J17"/>
    <mergeCell ref="I31:J31"/>
    <mergeCell ref="A31:B31"/>
    <mergeCell ref="A45:B45"/>
    <mergeCell ref="A59:B59"/>
    <mergeCell ref="I59:J59"/>
    <mergeCell ref="A61:B61"/>
    <mergeCell ref="I61:J61"/>
    <mergeCell ref="E65:F65"/>
    <mergeCell ref="I65:J6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F0EB1-5868-4FD8-A796-EF050EE3D966}">
  <dimension ref="A1:M68"/>
  <sheetViews>
    <sheetView topLeftCell="A33" workbookViewId="0">
      <selection sqref="A1:M1"/>
    </sheetView>
  </sheetViews>
  <sheetFormatPr defaultRowHeight="14.4" x14ac:dyDescent="0.3"/>
  <cols>
    <col min="1" max="1" width="11.77734375" bestFit="1" customWidth="1"/>
    <col min="2" max="2" width="12.88671875" bestFit="1" customWidth="1"/>
    <col min="3" max="3" width="20.44140625" bestFit="1" customWidth="1"/>
    <col min="4" max="4" width="14.44140625" bestFit="1" customWidth="1"/>
    <col min="5" max="5" width="15.5546875" bestFit="1" customWidth="1"/>
    <col min="6" max="6" width="5" bestFit="1" customWidth="1"/>
    <col min="7" max="7" width="4.6640625" customWidth="1"/>
    <col min="8" max="8" width="3.109375" customWidth="1"/>
    <col min="9" max="9" width="11.77734375" bestFit="1" customWidth="1"/>
    <col min="10" max="10" width="12" bestFit="1" customWidth="1"/>
    <col min="11" max="11" width="20.44140625" bestFit="1" customWidth="1"/>
    <col min="12" max="12" width="14.44140625" bestFit="1" customWidth="1"/>
    <col min="13" max="13" width="15.5546875" bestFit="1" customWidth="1"/>
  </cols>
  <sheetData>
    <row r="1" spans="1:13" ht="18" x14ac:dyDescent="0.35">
      <c r="A1" s="28" t="s">
        <v>21</v>
      </c>
      <c r="B1" s="28"/>
      <c r="C1" s="28"/>
      <c r="D1" s="28"/>
      <c r="E1" s="28"/>
      <c r="F1" s="28"/>
      <c r="G1" s="28"/>
      <c r="H1" s="28"/>
      <c r="I1" s="28"/>
      <c r="J1" s="28"/>
      <c r="K1" s="28"/>
      <c r="L1" s="28"/>
      <c r="M1" s="28"/>
    </row>
    <row r="3" spans="1:13" ht="15.6" x14ac:dyDescent="0.3">
      <c r="A3" s="29" t="s">
        <v>0</v>
      </c>
      <c r="B3" s="29"/>
      <c r="C3" s="29"/>
      <c r="D3" s="29"/>
      <c r="E3" s="29"/>
      <c r="G3" s="1"/>
      <c r="I3" s="29" t="s">
        <v>1</v>
      </c>
      <c r="J3" s="29"/>
      <c r="K3" s="29"/>
      <c r="L3" s="29"/>
      <c r="M3" s="29"/>
    </row>
    <row r="4" spans="1:13" ht="15.6" x14ac:dyDescent="0.3">
      <c r="A4" s="2"/>
      <c r="B4" s="2"/>
      <c r="C4" s="2"/>
      <c r="D4" s="2"/>
      <c r="E4" s="2"/>
      <c r="G4" s="1"/>
      <c r="I4" s="2"/>
      <c r="J4" s="2"/>
      <c r="K4" s="2"/>
      <c r="L4" s="2"/>
      <c r="M4" s="2"/>
    </row>
    <row r="5" spans="1:13" x14ac:dyDescent="0.3">
      <c r="A5" s="26" t="s">
        <v>2</v>
      </c>
      <c r="B5" s="26"/>
      <c r="C5" s="26"/>
      <c r="D5" s="26"/>
      <c r="E5" s="26"/>
      <c r="G5" s="1"/>
      <c r="I5" s="26" t="s">
        <v>2</v>
      </c>
      <c r="J5" s="26"/>
      <c r="K5" s="26"/>
      <c r="L5" s="26"/>
      <c r="M5" s="26"/>
    </row>
    <row r="6" spans="1:13" x14ac:dyDescent="0.3">
      <c r="A6" s="3" t="s">
        <v>3</v>
      </c>
      <c r="B6" s="3" t="s">
        <v>4</v>
      </c>
      <c r="C6" s="3" t="s">
        <v>5</v>
      </c>
      <c r="D6" s="3" t="s">
        <v>6</v>
      </c>
      <c r="E6" s="3" t="s">
        <v>7</v>
      </c>
      <c r="G6" s="1"/>
      <c r="I6" s="3" t="s">
        <v>3</v>
      </c>
      <c r="J6" s="3" t="s">
        <v>4</v>
      </c>
      <c r="K6" s="3" t="s">
        <v>5</v>
      </c>
      <c r="L6" s="3" t="s">
        <v>6</v>
      </c>
      <c r="M6" s="3" t="s">
        <v>7</v>
      </c>
    </row>
    <row r="7" spans="1:13" x14ac:dyDescent="0.3">
      <c r="A7" s="4" t="s">
        <v>8</v>
      </c>
      <c r="B7" s="4">
        <v>-3539.84</v>
      </c>
      <c r="C7" s="4">
        <v>99</v>
      </c>
      <c r="D7" s="4">
        <v>34</v>
      </c>
      <c r="E7" s="4">
        <v>65</v>
      </c>
      <c r="G7" s="1"/>
      <c r="I7" s="4" t="s">
        <v>8</v>
      </c>
      <c r="J7" s="4">
        <v>2860.34</v>
      </c>
      <c r="K7" s="4">
        <v>97</v>
      </c>
      <c r="L7" s="4">
        <v>51</v>
      </c>
      <c r="M7" s="4">
        <v>46</v>
      </c>
    </row>
    <row r="8" spans="1:13" x14ac:dyDescent="0.3">
      <c r="A8" s="4" t="s">
        <v>9</v>
      </c>
      <c r="B8" s="4">
        <v>981.69</v>
      </c>
      <c r="C8" s="4">
        <v>96</v>
      </c>
      <c r="D8" s="4">
        <v>46</v>
      </c>
      <c r="E8" s="4">
        <v>50</v>
      </c>
      <c r="G8" s="1"/>
      <c r="I8" s="4" t="s">
        <v>9</v>
      </c>
      <c r="J8" s="4">
        <v>-241.59</v>
      </c>
      <c r="K8" s="4">
        <v>102</v>
      </c>
      <c r="L8" s="4">
        <v>42</v>
      </c>
      <c r="M8" s="4">
        <v>60</v>
      </c>
    </row>
    <row r="9" spans="1:13" x14ac:dyDescent="0.3">
      <c r="A9" s="4" t="s">
        <v>10</v>
      </c>
      <c r="B9" s="4">
        <v>-2973.24</v>
      </c>
      <c r="C9" s="4">
        <v>125</v>
      </c>
      <c r="D9" s="4">
        <v>41</v>
      </c>
      <c r="E9" s="4">
        <v>84</v>
      </c>
      <c r="G9" s="1"/>
      <c r="I9" s="4" t="s">
        <v>10</v>
      </c>
      <c r="J9" s="4">
        <v>315.29000000000002</v>
      </c>
      <c r="K9" s="4">
        <v>111</v>
      </c>
      <c r="L9" s="4">
        <v>53</v>
      </c>
      <c r="M9" s="4">
        <v>58</v>
      </c>
    </row>
    <row r="10" spans="1:13" x14ac:dyDescent="0.3">
      <c r="A10" s="4" t="s">
        <v>11</v>
      </c>
      <c r="B10" s="4">
        <v>-158.86000000000001</v>
      </c>
      <c r="C10" s="4">
        <v>123</v>
      </c>
      <c r="D10" s="4">
        <v>53</v>
      </c>
      <c r="E10" s="4">
        <v>70</v>
      </c>
      <c r="G10" s="1"/>
      <c r="I10" s="4" t="s">
        <v>11</v>
      </c>
      <c r="J10" s="4">
        <v>-332.92</v>
      </c>
      <c r="K10" s="4">
        <v>120</v>
      </c>
      <c r="L10" s="4">
        <v>50</v>
      </c>
      <c r="M10" s="4">
        <v>70</v>
      </c>
    </row>
    <row r="11" spans="1:13" x14ac:dyDescent="0.3">
      <c r="A11" s="4" t="s">
        <v>12</v>
      </c>
      <c r="B11" s="4">
        <v>-558.49</v>
      </c>
      <c r="C11" s="4">
        <v>123</v>
      </c>
      <c r="D11" s="4">
        <v>50</v>
      </c>
      <c r="E11" s="4">
        <v>73</v>
      </c>
      <c r="G11" s="1"/>
      <c r="I11" s="4" t="s">
        <v>12</v>
      </c>
      <c r="J11" s="4">
        <v>-1127.2</v>
      </c>
      <c r="K11" s="4">
        <v>123</v>
      </c>
      <c r="L11" s="4">
        <v>44</v>
      </c>
      <c r="M11" s="4">
        <v>79</v>
      </c>
    </row>
    <row r="12" spans="1:13" x14ac:dyDescent="0.3">
      <c r="A12" s="4" t="s">
        <v>13</v>
      </c>
      <c r="B12" s="4">
        <v>1318.25</v>
      </c>
      <c r="C12" s="4">
        <v>116</v>
      </c>
      <c r="D12" s="4">
        <v>51</v>
      </c>
      <c r="E12" s="4">
        <v>65</v>
      </c>
      <c r="G12" s="1"/>
      <c r="I12" s="4" t="s">
        <v>13</v>
      </c>
      <c r="J12" s="4">
        <v>318.54000000000002</v>
      </c>
      <c r="K12" s="4">
        <v>115</v>
      </c>
      <c r="L12" s="4">
        <v>52</v>
      </c>
      <c r="M12" s="4">
        <v>63</v>
      </c>
    </row>
    <row r="13" spans="1:13" x14ac:dyDescent="0.3">
      <c r="A13" s="4" t="s">
        <v>14</v>
      </c>
      <c r="B13" s="4">
        <v>-4166.09</v>
      </c>
      <c r="C13" s="4">
        <v>123</v>
      </c>
      <c r="D13" s="4">
        <v>45</v>
      </c>
      <c r="E13" s="4">
        <v>82</v>
      </c>
      <c r="G13" s="1"/>
      <c r="I13" s="4" t="s">
        <v>14</v>
      </c>
      <c r="J13" s="4">
        <v>2727.19</v>
      </c>
      <c r="K13" s="4">
        <v>135</v>
      </c>
      <c r="L13" s="4">
        <v>63</v>
      </c>
      <c r="M13" s="4">
        <v>72</v>
      </c>
    </row>
    <row r="14" spans="1:13" x14ac:dyDescent="0.3">
      <c r="A14" s="4" t="s">
        <v>15</v>
      </c>
      <c r="B14" s="4">
        <v>-4846.72</v>
      </c>
      <c r="C14" s="4">
        <v>147</v>
      </c>
      <c r="D14" s="4">
        <v>47</v>
      </c>
      <c r="E14" s="4">
        <v>100</v>
      </c>
      <c r="G14" s="1"/>
      <c r="I14" s="4" t="s">
        <v>15</v>
      </c>
      <c r="J14" s="4">
        <v>7133.12</v>
      </c>
      <c r="K14" s="4">
        <v>139</v>
      </c>
      <c r="L14" s="4">
        <v>74</v>
      </c>
      <c r="M14" s="4">
        <v>65</v>
      </c>
    </row>
    <row r="15" spans="1:13" x14ac:dyDescent="0.3">
      <c r="A15" s="4" t="s">
        <v>16</v>
      </c>
      <c r="B15" s="4">
        <v>-5033.43</v>
      </c>
      <c r="C15" s="4">
        <v>136</v>
      </c>
      <c r="D15" s="4">
        <v>41</v>
      </c>
      <c r="E15" s="4">
        <v>95</v>
      </c>
      <c r="G15" s="1"/>
      <c r="I15" s="4" t="s">
        <v>16</v>
      </c>
      <c r="J15" s="4">
        <v>2433.5300000000002</v>
      </c>
      <c r="K15" s="4">
        <v>140</v>
      </c>
      <c r="L15" s="4">
        <v>65</v>
      </c>
      <c r="M15" s="4">
        <v>75</v>
      </c>
    </row>
    <row r="16" spans="1:13" x14ac:dyDescent="0.3">
      <c r="A16" s="4" t="s">
        <v>17</v>
      </c>
      <c r="B16" s="4">
        <v>4263.41</v>
      </c>
      <c r="C16" s="4">
        <v>147</v>
      </c>
      <c r="D16" s="4">
        <v>65</v>
      </c>
      <c r="E16" s="4">
        <v>82</v>
      </c>
      <c r="G16" s="1"/>
      <c r="I16" s="4" t="s">
        <v>17</v>
      </c>
      <c r="J16" s="4">
        <v>521.02</v>
      </c>
      <c r="K16" s="4">
        <v>129</v>
      </c>
      <c r="L16" s="4">
        <v>53</v>
      </c>
      <c r="M16" s="4">
        <v>76</v>
      </c>
    </row>
    <row r="17" spans="1:13" x14ac:dyDescent="0.3">
      <c r="A17" s="24" t="s">
        <v>23</v>
      </c>
      <c r="B17" s="24"/>
      <c r="C17" s="7">
        <f>SUM(C7:C16)</f>
        <v>1235</v>
      </c>
      <c r="D17" s="7">
        <f>SUM(D7:D16)</f>
        <v>473</v>
      </c>
      <c r="E17" s="7">
        <f>SUM(E7:E16)</f>
        <v>766</v>
      </c>
      <c r="G17" s="1"/>
      <c r="I17" s="24" t="s">
        <v>23</v>
      </c>
      <c r="J17" s="24"/>
      <c r="K17" s="7">
        <f>SUM(K7:K16)</f>
        <v>1211</v>
      </c>
      <c r="L17" s="7">
        <f>SUM(L7:L16)</f>
        <v>547</v>
      </c>
      <c r="M17" s="7">
        <f>SUM(M7:M16)</f>
        <v>664</v>
      </c>
    </row>
    <row r="18" spans="1:13" x14ac:dyDescent="0.3">
      <c r="G18" s="1"/>
    </row>
    <row r="19" spans="1:13" x14ac:dyDescent="0.3">
      <c r="A19" s="26" t="s">
        <v>18</v>
      </c>
      <c r="B19" s="26"/>
      <c r="C19" s="26"/>
      <c r="D19" s="26"/>
      <c r="E19" s="26"/>
      <c r="G19" s="1"/>
      <c r="I19" s="26" t="s">
        <v>18</v>
      </c>
      <c r="J19" s="26"/>
      <c r="K19" s="26"/>
      <c r="L19" s="26"/>
      <c r="M19" s="26"/>
    </row>
    <row r="20" spans="1:13" x14ac:dyDescent="0.3">
      <c r="A20" s="3" t="s">
        <v>3</v>
      </c>
      <c r="B20" s="3" t="s">
        <v>4</v>
      </c>
      <c r="C20" s="3" t="s">
        <v>5</v>
      </c>
      <c r="D20" s="3" t="s">
        <v>6</v>
      </c>
      <c r="E20" s="3" t="s">
        <v>7</v>
      </c>
      <c r="G20" s="1"/>
      <c r="I20" s="3" t="s">
        <v>3</v>
      </c>
      <c r="J20" s="3" t="s">
        <v>4</v>
      </c>
      <c r="K20" s="3" t="s">
        <v>5</v>
      </c>
      <c r="L20" s="3" t="s">
        <v>6</v>
      </c>
      <c r="M20" s="3" t="s">
        <v>7</v>
      </c>
    </row>
    <row r="21" spans="1:13" x14ac:dyDescent="0.3">
      <c r="A21" s="4" t="s">
        <v>8</v>
      </c>
      <c r="B21" s="4">
        <v>555.89</v>
      </c>
      <c r="C21" s="4">
        <v>86</v>
      </c>
      <c r="D21" s="4">
        <v>46</v>
      </c>
      <c r="E21" s="4">
        <v>40</v>
      </c>
      <c r="G21" s="1"/>
      <c r="I21" s="4" t="s">
        <v>8</v>
      </c>
      <c r="J21" s="4">
        <v>485.7</v>
      </c>
      <c r="K21" s="4">
        <v>86</v>
      </c>
      <c r="L21" s="4">
        <v>46</v>
      </c>
      <c r="M21" s="4">
        <v>40</v>
      </c>
    </row>
    <row r="22" spans="1:13" x14ac:dyDescent="0.3">
      <c r="A22" s="4" t="s">
        <v>9</v>
      </c>
      <c r="B22" s="4">
        <v>-642.88</v>
      </c>
      <c r="C22" s="4">
        <v>88</v>
      </c>
      <c r="D22" s="4">
        <v>37</v>
      </c>
      <c r="E22" s="4">
        <v>51</v>
      </c>
      <c r="G22" s="1"/>
      <c r="I22" s="4" t="s">
        <v>9</v>
      </c>
      <c r="J22" s="4">
        <v>578.72</v>
      </c>
      <c r="K22" s="4">
        <v>86</v>
      </c>
      <c r="L22" s="4">
        <v>45</v>
      </c>
      <c r="M22" s="4">
        <v>41</v>
      </c>
    </row>
    <row r="23" spans="1:13" x14ac:dyDescent="0.3">
      <c r="A23" s="4" t="s">
        <v>10</v>
      </c>
      <c r="B23" s="4">
        <v>-126.59</v>
      </c>
      <c r="C23" s="4">
        <v>101</v>
      </c>
      <c r="D23" s="4">
        <v>48</v>
      </c>
      <c r="E23" s="4">
        <v>53</v>
      </c>
      <c r="G23" s="1"/>
      <c r="I23" s="4" t="s">
        <v>10</v>
      </c>
      <c r="J23" s="4">
        <v>-700.85</v>
      </c>
      <c r="K23" s="4">
        <v>97</v>
      </c>
      <c r="L23" s="4">
        <v>43</v>
      </c>
      <c r="M23" s="4">
        <v>54</v>
      </c>
    </row>
    <row r="24" spans="1:13" x14ac:dyDescent="0.3">
      <c r="A24" s="4" t="s">
        <v>11</v>
      </c>
      <c r="B24" s="4">
        <v>599.01</v>
      </c>
      <c r="C24" s="4">
        <v>100</v>
      </c>
      <c r="D24" s="4">
        <v>46</v>
      </c>
      <c r="E24" s="4">
        <v>54</v>
      </c>
      <c r="G24" s="1"/>
      <c r="I24" s="4" t="s">
        <v>11</v>
      </c>
      <c r="J24" s="4">
        <v>-181.72</v>
      </c>
      <c r="K24" s="4">
        <v>102</v>
      </c>
      <c r="L24" s="4">
        <v>48</v>
      </c>
      <c r="M24" s="4">
        <v>54</v>
      </c>
    </row>
    <row r="25" spans="1:13" x14ac:dyDescent="0.3">
      <c r="A25" s="4" t="s">
        <v>12</v>
      </c>
      <c r="B25" s="4">
        <v>-643.59</v>
      </c>
      <c r="C25" s="4">
        <v>114</v>
      </c>
      <c r="D25" s="4">
        <v>45</v>
      </c>
      <c r="E25" s="4">
        <v>69</v>
      </c>
      <c r="G25" s="1"/>
      <c r="I25" s="4" t="s">
        <v>12</v>
      </c>
      <c r="J25" s="4">
        <v>-330.6</v>
      </c>
      <c r="K25" s="4">
        <v>109</v>
      </c>
      <c r="L25" s="4">
        <v>44</v>
      </c>
      <c r="M25" s="4">
        <v>65</v>
      </c>
    </row>
    <row r="26" spans="1:13" x14ac:dyDescent="0.3">
      <c r="A26" s="4" t="s">
        <v>13</v>
      </c>
      <c r="B26" s="4">
        <v>-2865.32</v>
      </c>
      <c r="C26" s="4">
        <v>124</v>
      </c>
      <c r="D26" s="4">
        <v>47</v>
      </c>
      <c r="E26" s="4">
        <v>77</v>
      </c>
      <c r="G26" s="1"/>
      <c r="I26" s="4" t="s">
        <v>13</v>
      </c>
      <c r="J26" s="4">
        <v>3930.14</v>
      </c>
      <c r="K26" s="4">
        <v>110</v>
      </c>
      <c r="L26" s="4">
        <v>57</v>
      </c>
      <c r="M26" s="4">
        <v>53</v>
      </c>
    </row>
    <row r="27" spans="1:13" x14ac:dyDescent="0.3">
      <c r="A27" s="4" t="s">
        <v>14</v>
      </c>
      <c r="B27" s="4">
        <v>-4541.84</v>
      </c>
      <c r="C27" s="4">
        <v>135</v>
      </c>
      <c r="D27" s="4">
        <v>43</v>
      </c>
      <c r="E27" s="4">
        <v>92</v>
      </c>
      <c r="G27" s="1"/>
      <c r="I27" s="4" t="s">
        <v>14</v>
      </c>
      <c r="J27" s="4">
        <v>3670.64</v>
      </c>
      <c r="K27" s="4">
        <v>123</v>
      </c>
      <c r="L27" s="4">
        <v>61</v>
      </c>
      <c r="M27" s="4">
        <v>62</v>
      </c>
    </row>
    <row r="28" spans="1:13" x14ac:dyDescent="0.3">
      <c r="A28" s="4" t="s">
        <v>15</v>
      </c>
      <c r="B28" s="4">
        <v>-7371.1</v>
      </c>
      <c r="C28" s="4">
        <v>135</v>
      </c>
      <c r="D28" s="4">
        <v>33</v>
      </c>
      <c r="E28" s="4">
        <v>102</v>
      </c>
      <c r="G28" s="1"/>
      <c r="I28" s="4" t="s">
        <v>15</v>
      </c>
      <c r="J28" s="4">
        <v>6381.57</v>
      </c>
      <c r="K28" s="4">
        <v>125</v>
      </c>
      <c r="L28" s="4">
        <v>64</v>
      </c>
      <c r="M28" s="4">
        <v>61</v>
      </c>
    </row>
    <row r="29" spans="1:13" x14ac:dyDescent="0.3">
      <c r="A29" s="4" t="s">
        <v>16</v>
      </c>
      <c r="B29" s="4">
        <v>-1816</v>
      </c>
      <c r="C29" s="4">
        <v>131</v>
      </c>
      <c r="D29" s="4">
        <v>47</v>
      </c>
      <c r="E29" s="4">
        <v>84</v>
      </c>
      <c r="G29" s="1"/>
      <c r="I29" s="4" t="s">
        <v>16</v>
      </c>
      <c r="J29" s="4">
        <v>6138.1</v>
      </c>
      <c r="K29" s="4">
        <v>123</v>
      </c>
      <c r="L29" s="4">
        <v>67</v>
      </c>
      <c r="M29" s="4">
        <v>56</v>
      </c>
    </row>
    <row r="30" spans="1:13" x14ac:dyDescent="0.3">
      <c r="A30" s="4" t="s">
        <v>17</v>
      </c>
      <c r="B30" s="4">
        <v>-5209.0200000000004</v>
      </c>
      <c r="C30" s="4">
        <v>147</v>
      </c>
      <c r="D30" s="4">
        <v>48</v>
      </c>
      <c r="E30" s="4">
        <v>99</v>
      </c>
      <c r="G30" s="1"/>
      <c r="I30" s="4" t="s">
        <v>17</v>
      </c>
      <c r="J30" s="4">
        <v>9936.0300000000007</v>
      </c>
      <c r="K30" s="4">
        <v>143</v>
      </c>
      <c r="L30" s="4">
        <v>75</v>
      </c>
      <c r="M30" s="4">
        <v>68</v>
      </c>
    </row>
    <row r="31" spans="1:13" x14ac:dyDescent="0.3">
      <c r="A31" s="24" t="s">
        <v>23</v>
      </c>
      <c r="B31" s="24"/>
      <c r="C31" s="7">
        <f>SUM(C21:C30)</f>
        <v>1161</v>
      </c>
      <c r="D31" s="7">
        <f>SUM(D21:D30)</f>
        <v>440</v>
      </c>
      <c r="E31" s="7">
        <f>SUM(E21:E30)</f>
        <v>721</v>
      </c>
      <c r="G31" s="1"/>
      <c r="I31" s="24" t="s">
        <v>23</v>
      </c>
      <c r="J31" s="24"/>
      <c r="K31" s="7">
        <f>SUM(K21:K30)</f>
        <v>1104</v>
      </c>
      <c r="L31" s="7">
        <f>SUM(L21:L30)</f>
        <v>550</v>
      </c>
      <c r="M31" s="7">
        <f>SUM(M21:M30)</f>
        <v>554</v>
      </c>
    </row>
    <row r="32" spans="1:13" x14ac:dyDescent="0.3">
      <c r="G32" s="1"/>
    </row>
    <row r="33" spans="1:13" x14ac:dyDescent="0.3">
      <c r="A33" s="26" t="s">
        <v>19</v>
      </c>
      <c r="B33" s="26"/>
      <c r="C33" s="26"/>
      <c r="D33" s="26"/>
      <c r="E33" s="26"/>
      <c r="G33" s="1"/>
      <c r="I33" s="27" t="s">
        <v>19</v>
      </c>
      <c r="J33" s="27"/>
      <c r="K33" s="27"/>
      <c r="L33" s="27"/>
      <c r="M33" s="27"/>
    </row>
    <row r="34" spans="1:13" x14ac:dyDescent="0.3">
      <c r="A34" s="3" t="s">
        <v>3</v>
      </c>
      <c r="B34" s="3" t="s">
        <v>4</v>
      </c>
      <c r="C34" s="3" t="s">
        <v>5</v>
      </c>
      <c r="D34" s="3" t="s">
        <v>6</v>
      </c>
      <c r="E34" s="3" t="s">
        <v>7</v>
      </c>
      <c r="G34" s="1"/>
      <c r="I34" s="3" t="s">
        <v>3</v>
      </c>
      <c r="J34" s="3" t="s">
        <v>4</v>
      </c>
      <c r="K34" s="3" t="s">
        <v>5</v>
      </c>
      <c r="L34" s="3" t="s">
        <v>6</v>
      </c>
      <c r="M34" s="3" t="s">
        <v>7</v>
      </c>
    </row>
    <row r="35" spans="1:13" x14ac:dyDescent="0.3">
      <c r="A35" s="4" t="s">
        <v>8</v>
      </c>
      <c r="B35" s="4">
        <v>-1500.94</v>
      </c>
      <c r="C35" s="4">
        <v>88</v>
      </c>
      <c r="D35" s="4">
        <v>38</v>
      </c>
      <c r="E35" s="4">
        <v>50</v>
      </c>
      <c r="G35" s="1"/>
      <c r="I35" s="4" t="s">
        <v>8</v>
      </c>
      <c r="J35" s="4">
        <v>2389.7399999999998</v>
      </c>
      <c r="K35" s="4">
        <v>87</v>
      </c>
      <c r="L35" s="4">
        <v>45</v>
      </c>
      <c r="M35" s="4">
        <v>42</v>
      </c>
    </row>
    <row r="36" spans="1:13" x14ac:dyDescent="0.3">
      <c r="A36" s="4" t="s">
        <v>9</v>
      </c>
      <c r="B36" s="4">
        <v>-1492.02</v>
      </c>
      <c r="C36" s="4">
        <v>85</v>
      </c>
      <c r="D36" s="4">
        <v>37</v>
      </c>
      <c r="E36" s="4">
        <v>48</v>
      </c>
      <c r="G36" s="1"/>
      <c r="I36" s="4" t="s">
        <v>9</v>
      </c>
      <c r="J36" s="4">
        <v>1779.84</v>
      </c>
      <c r="K36" s="4">
        <v>84</v>
      </c>
      <c r="L36" s="4">
        <v>45</v>
      </c>
      <c r="M36" s="4">
        <v>39</v>
      </c>
    </row>
    <row r="37" spans="1:13" x14ac:dyDescent="0.3">
      <c r="A37" s="4" t="s">
        <v>10</v>
      </c>
      <c r="B37" s="4">
        <v>-890.04</v>
      </c>
      <c r="C37" s="4">
        <v>105</v>
      </c>
      <c r="D37" s="4">
        <v>47</v>
      </c>
      <c r="E37" s="4">
        <v>58</v>
      </c>
      <c r="G37" s="1"/>
      <c r="I37" s="4" t="s">
        <v>10</v>
      </c>
      <c r="J37" s="4">
        <v>1203.04</v>
      </c>
      <c r="K37" s="4">
        <v>92</v>
      </c>
      <c r="L37" s="4">
        <v>41</v>
      </c>
      <c r="M37" s="4">
        <v>51</v>
      </c>
    </row>
    <row r="38" spans="1:13" x14ac:dyDescent="0.3">
      <c r="A38" s="4" t="s">
        <v>11</v>
      </c>
      <c r="B38" s="4">
        <v>-401.68</v>
      </c>
      <c r="C38" s="4">
        <v>113</v>
      </c>
      <c r="D38" s="4">
        <v>52</v>
      </c>
      <c r="E38" s="4">
        <v>113</v>
      </c>
      <c r="G38" s="1"/>
      <c r="I38" s="4" t="s">
        <v>11</v>
      </c>
      <c r="J38" s="4">
        <v>-839.47</v>
      </c>
      <c r="K38" s="4">
        <v>107</v>
      </c>
      <c r="L38" s="4">
        <v>42</v>
      </c>
      <c r="M38" s="4">
        <v>65</v>
      </c>
    </row>
    <row r="39" spans="1:13" x14ac:dyDescent="0.3">
      <c r="A39" s="4" t="s">
        <v>12</v>
      </c>
      <c r="B39" s="4">
        <v>1241.75</v>
      </c>
      <c r="C39" s="4">
        <v>100</v>
      </c>
      <c r="D39" s="4">
        <v>44</v>
      </c>
      <c r="E39" s="4">
        <v>56</v>
      </c>
      <c r="G39" s="1"/>
      <c r="I39" s="4" t="s">
        <v>12</v>
      </c>
      <c r="J39" s="4">
        <v>1107.44</v>
      </c>
      <c r="K39" s="4">
        <v>96</v>
      </c>
      <c r="L39" s="4">
        <v>46</v>
      </c>
      <c r="M39" s="4">
        <v>50</v>
      </c>
    </row>
    <row r="40" spans="1:13" x14ac:dyDescent="0.3">
      <c r="A40" s="4" t="s">
        <v>13</v>
      </c>
      <c r="B40" s="4">
        <v>1255.51</v>
      </c>
      <c r="C40" s="4">
        <v>103</v>
      </c>
      <c r="D40" s="4">
        <v>47</v>
      </c>
      <c r="E40" s="4">
        <v>56</v>
      </c>
      <c r="G40" s="1"/>
      <c r="I40" s="4" t="s">
        <v>13</v>
      </c>
      <c r="J40" s="4">
        <v>-314.31</v>
      </c>
      <c r="K40" s="4">
        <v>105</v>
      </c>
      <c r="L40" s="4">
        <v>48</v>
      </c>
      <c r="M40" s="4">
        <v>57</v>
      </c>
    </row>
    <row r="41" spans="1:13" x14ac:dyDescent="0.3">
      <c r="A41" s="4" t="s">
        <v>14</v>
      </c>
      <c r="B41" s="4">
        <v>-1529.29</v>
      </c>
      <c r="C41" s="4">
        <v>111</v>
      </c>
      <c r="D41" s="4">
        <v>38</v>
      </c>
      <c r="E41" s="4">
        <v>73</v>
      </c>
      <c r="G41" s="1"/>
      <c r="I41" s="4" t="s">
        <v>14</v>
      </c>
      <c r="J41" s="4">
        <v>1222.8900000000001</v>
      </c>
      <c r="K41" s="4">
        <v>115</v>
      </c>
      <c r="L41" s="4">
        <v>56</v>
      </c>
      <c r="M41" s="4">
        <v>59</v>
      </c>
    </row>
    <row r="42" spans="1:13" x14ac:dyDescent="0.3">
      <c r="A42" s="4" t="s">
        <v>15</v>
      </c>
      <c r="B42" s="4">
        <v>-2295.14</v>
      </c>
      <c r="C42" s="4">
        <v>128</v>
      </c>
      <c r="D42" s="4">
        <v>51</v>
      </c>
      <c r="E42" s="4">
        <v>77</v>
      </c>
      <c r="G42" s="1"/>
      <c r="I42" s="4" t="s">
        <v>15</v>
      </c>
      <c r="J42" s="4">
        <v>3675.8</v>
      </c>
      <c r="K42" s="4">
        <v>117</v>
      </c>
      <c r="L42" s="4">
        <v>56</v>
      </c>
      <c r="M42" s="4">
        <v>61</v>
      </c>
    </row>
    <row r="43" spans="1:13" x14ac:dyDescent="0.3">
      <c r="A43" s="4" t="s">
        <v>16</v>
      </c>
      <c r="B43" s="4">
        <v>-3001.54</v>
      </c>
      <c r="C43" s="4">
        <v>117</v>
      </c>
      <c r="D43" s="4">
        <v>44</v>
      </c>
      <c r="E43" s="4">
        <v>73</v>
      </c>
      <c r="G43" s="1"/>
      <c r="I43" s="4" t="s">
        <v>16</v>
      </c>
      <c r="J43" s="4">
        <v>6364.53</v>
      </c>
      <c r="K43" s="4">
        <v>105</v>
      </c>
      <c r="L43" s="4">
        <v>58</v>
      </c>
      <c r="M43" s="4">
        <v>47</v>
      </c>
    </row>
    <row r="44" spans="1:13" x14ac:dyDescent="0.3">
      <c r="A44" s="4" t="s">
        <v>17</v>
      </c>
      <c r="B44" s="4">
        <v>-982.64</v>
      </c>
      <c r="C44" s="4">
        <v>107</v>
      </c>
      <c r="D44" s="4">
        <v>42</v>
      </c>
      <c r="E44" s="4">
        <v>65</v>
      </c>
      <c r="G44" s="1"/>
      <c r="I44" s="4" t="s">
        <v>17</v>
      </c>
      <c r="J44" s="4">
        <v>2290.5500000000002</v>
      </c>
      <c r="K44" s="4">
        <v>112</v>
      </c>
      <c r="L44" s="4">
        <v>50</v>
      </c>
      <c r="M44" s="4">
        <v>62</v>
      </c>
    </row>
    <row r="45" spans="1:13" x14ac:dyDescent="0.3">
      <c r="A45" s="24" t="s">
        <v>23</v>
      </c>
      <c r="B45" s="24"/>
      <c r="C45" s="7">
        <f>SUM(C35:C44)</f>
        <v>1057</v>
      </c>
      <c r="D45" s="7">
        <f>SUM(D35:D44)</f>
        <v>440</v>
      </c>
      <c r="E45" s="7">
        <f>SUM(E35:E44)</f>
        <v>669</v>
      </c>
      <c r="G45" s="1"/>
      <c r="I45" s="24" t="s">
        <v>23</v>
      </c>
      <c r="J45" s="24"/>
      <c r="K45" s="7">
        <f>SUM(K35:K44)</f>
        <v>1020</v>
      </c>
      <c r="L45" s="7">
        <f>SUM(L35:L44)</f>
        <v>487</v>
      </c>
      <c r="M45" s="7">
        <f>SUM(M35:M44)</f>
        <v>533</v>
      </c>
    </row>
    <row r="46" spans="1:13" x14ac:dyDescent="0.3">
      <c r="G46" s="1"/>
    </row>
    <row r="47" spans="1:13" x14ac:dyDescent="0.3">
      <c r="A47" s="26" t="s">
        <v>20</v>
      </c>
      <c r="B47" s="26"/>
      <c r="C47" s="26"/>
      <c r="D47" s="26"/>
      <c r="E47" s="26"/>
      <c r="G47" s="1"/>
      <c r="I47" s="26" t="s">
        <v>20</v>
      </c>
      <c r="J47" s="26"/>
      <c r="K47" s="26"/>
      <c r="L47" s="26"/>
      <c r="M47" s="26"/>
    </row>
    <row r="48" spans="1:13" x14ac:dyDescent="0.3">
      <c r="A48" s="3" t="s">
        <v>3</v>
      </c>
      <c r="B48" s="3" t="s">
        <v>4</v>
      </c>
      <c r="C48" s="3" t="s">
        <v>5</v>
      </c>
      <c r="D48" s="3" t="s">
        <v>6</v>
      </c>
      <c r="E48" s="3" t="s">
        <v>7</v>
      </c>
      <c r="G48" s="1"/>
      <c r="I48" s="3" t="s">
        <v>3</v>
      </c>
      <c r="J48" s="3" t="s">
        <v>4</v>
      </c>
      <c r="K48" s="3" t="s">
        <v>5</v>
      </c>
      <c r="L48" s="3" t="s">
        <v>6</v>
      </c>
      <c r="M48" s="3" t="s">
        <v>7</v>
      </c>
    </row>
    <row r="49" spans="1:13" x14ac:dyDescent="0.3">
      <c r="A49" s="4" t="s">
        <v>8</v>
      </c>
      <c r="B49" s="4">
        <v>590.15</v>
      </c>
      <c r="C49" s="4">
        <v>97</v>
      </c>
      <c r="D49" s="4">
        <v>47</v>
      </c>
      <c r="E49" s="4">
        <v>50</v>
      </c>
      <c r="G49" s="1"/>
      <c r="I49" s="4" t="s">
        <v>8</v>
      </c>
      <c r="J49" s="4">
        <v>1316.89</v>
      </c>
      <c r="K49" s="4">
        <v>99</v>
      </c>
      <c r="L49" s="4">
        <v>51</v>
      </c>
      <c r="M49" s="4">
        <v>48</v>
      </c>
    </row>
    <row r="50" spans="1:13" x14ac:dyDescent="0.3">
      <c r="A50" s="4" t="s">
        <v>9</v>
      </c>
      <c r="B50" s="4">
        <v>1463.41</v>
      </c>
      <c r="C50" s="4">
        <v>108</v>
      </c>
      <c r="D50" s="4">
        <v>53</v>
      </c>
      <c r="E50" s="4">
        <v>55</v>
      </c>
      <c r="G50" s="1"/>
      <c r="I50" s="4" t="s">
        <v>9</v>
      </c>
      <c r="J50" s="4">
        <v>-1281.3900000000001</v>
      </c>
      <c r="K50" s="4">
        <v>114</v>
      </c>
      <c r="L50" s="4">
        <v>51</v>
      </c>
      <c r="M50" s="4">
        <v>63</v>
      </c>
    </row>
    <row r="51" spans="1:13" x14ac:dyDescent="0.3">
      <c r="A51" s="4" t="s">
        <v>10</v>
      </c>
      <c r="B51" s="4">
        <v>-533.94000000000005</v>
      </c>
      <c r="C51" s="4">
        <v>111</v>
      </c>
      <c r="D51" s="4">
        <v>51</v>
      </c>
      <c r="E51" s="4">
        <v>60</v>
      </c>
      <c r="G51" s="1"/>
      <c r="I51" s="4" t="s">
        <v>10</v>
      </c>
      <c r="J51" s="4">
        <v>-700.8</v>
      </c>
      <c r="K51" s="4">
        <v>114</v>
      </c>
      <c r="L51" s="4">
        <v>47</v>
      </c>
      <c r="M51" s="4">
        <v>67</v>
      </c>
    </row>
    <row r="52" spans="1:13" x14ac:dyDescent="0.3">
      <c r="A52" s="4" t="s">
        <v>11</v>
      </c>
      <c r="B52" s="4">
        <v>2915.58</v>
      </c>
      <c r="C52" s="4">
        <v>131</v>
      </c>
      <c r="D52" s="4">
        <v>56</v>
      </c>
      <c r="E52" s="4">
        <v>75</v>
      </c>
      <c r="G52" s="1"/>
      <c r="I52" s="4" t="s">
        <v>11</v>
      </c>
      <c r="J52" s="4">
        <v>3281.45</v>
      </c>
      <c r="K52" s="4">
        <v>125</v>
      </c>
      <c r="L52" s="4">
        <v>56</v>
      </c>
      <c r="M52" s="4">
        <v>69</v>
      </c>
    </row>
    <row r="53" spans="1:13" x14ac:dyDescent="0.3">
      <c r="A53" s="4" t="s">
        <v>12</v>
      </c>
      <c r="B53" s="4">
        <v>-2561.79</v>
      </c>
      <c r="C53" s="4">
        <v>119</v>
      </c>
      <c r="D53" s="4">
        <v>44</v>
      </c>
      <c r="E53" s="4">
        <v>75</v>
      </c>
      <c r="G53" s="1"/>
      <c r="I53" s="4" t="s">
        <v>12</v>
      </c>
      <c r="J53" s="4">
        <v>497.64</v>
      </c>
      <c r="K53" s="4">
        <v>119</v>
      </c>
      <c r="L53" s="4">
        <v>48</v>
      </c>
      <c r="M53" s="4">
        <v>71</v>
      </c>
    </row>
    <row r="54" spans="1:13" x14ac:dyDescent="0.3">
      <c r="A54" s="4" t="s">
        <v>13</v>
      </c>
      <c r="B54" s="4">
        <v>-2533.61</v>
      </c>
      <c r="C54" s="4">
        <v>124</v>
      </c>
      <c r="D54" s="4">
        <v>46</v>
      </c>
      <c r="E54" s="4">
        <v>78</v>
      </c>
      <c r="G54" s="1"/>
      <c r="I54" s="4" t="s">
        <v>13</v>
      </c>
      <c r="J54" s="4">
        <v>1245.3</v>
      </c>
      <c r="K54" s="4">
        <v>115</v>
      </c>
      <c r="L54" s="4">
        <v>51</v>
      </c>
      <c r="M54" s="4">
        <v>64</v>
      </c>
    </row>
    <row r="55" spans="1:13" x14ac:dyDescent="0.3">
      <c r="A55" s="4" t="s">
        <v>14</v>
      </c>
      <c r="B55" s="4">
        <v>-63.54</v>
      </c>
      <c r="C55" s="4">
        <v>124</v>
      </c>
      <c r="D55" s="4">
        <v>49</v>
      </c>
      <c r="E55" s="4">
        <v>75</v>
      </c>
      <c r="G55" s="1"/>
      <c r="I55" s="4" t="s">
        <v>14</v>
      </c>
      <c r="J55" s="4">
        <v>-95.65</v>
      </c>
      <c r="K55" s="4">
        <v>127</v>
      </c>
      <c r="L55" s="4">
        <v>53</v>
      </c>
      <c r="M55" s="4">
        <v>74</v>
      </c>
    </row>
    <row r="56" spans="1:13" x14ac:dyDescent="0.3">
      <c r="A56" s="4" t="s">
        <v>15</v>
      </c>
      <c r="B56" s="4">
        <v>-1752.45</v>
      </c>
      <c r="C56" s="4">
        <v>137</v>
      </c>
      <c r="D56" s="4">
        <v>50</v>
      </c>
      <c r="E56" s="4">
        <v>87</v>
      </c>
      <c r="G56" s="1"/>
      <c r="I56" s="4" t="s">
        <v>15</v>
      </c>
      <c r="J56" s="4">
        <v>1054.1500000000001</v>
      </c>
      <c r="K56" s="4">
        <v>143</v>
      </c>
      <c r="L56" s="4">
        <v>60</v>
      </c>
      <c r="M56" s="4">
        <v>83</v>
      </c>
    </row>
    <row r="57" spans="1:13" x14ac:dyDescent="0.3">
      <c r="A57" s="4" t="s">
        <v>16</v>
      </c>
      <c r="B57" s="4">
        <v>-3334.68</v>
      </c>
      <c r="C57" s="4">
        <v>138</v>
      </c>
      <c r="D57" s="4">
        <v>45</v>
      </c>
      <c r="E57" s="4">
        <v>93</v>
      </c>
      <c r="G57" s="1"/>
      <c r="I57" s="4" t="s">
        <v>16</v>
      </c>
      <c r="J57" s="4">
        <v>5640.47</v>
      </c>
      <c r="K57" s="4">
        <v>130</v>
      </c>
      <c r="L57" s="4">
        <v>64</v>
      </c>
      <c r="M57" s="4">
        <v>66</v>
      </c>
    </row>
    <row r="58" spans="1:13" x14ac:dyDescent="0.3">
      <c r="A58" s="4" t="s">
        <v>17</v>
      </c>
      <c r="B58" s="4">
        <v>-1489.36</v>
      </c>
      <c r="C58" s="4">
        <v>123</v>
      </c>
      <c r="D58" s="4">
        <v>45</v>
      </c>
      <c r="E58" s="4">
        <v>78</v>
      </c>
      <c r="G58" s="1"/>
      <c r="I58" s="4" t="s">
        <v>17</v>
      </c>
      <c r="J58" s="4">
        <v>1494.28</v>
      </c>
      <c r="K58" s="4">
        <v>119</v>
      </c>
      <c r="L58" s="4">
        <v>53</v>
      </c>
      <c r="M58" s="4">
        <v>66</v>
      </c>
    </row>
    <row r="59" spans="1:13" x14ac:dyDescent="0.3">
      <c r="A59" s="24" t="s">
        <v>23</v>
      </c>
      <c r="B59" s="24"/>
      <c r="C59" s="7">
        <f>SUM(C49:C58)</f>
        <v>1212</v>
      </c>
      <c r="D59" s="7">
        <f>SUM(D49:D58)</f>
        <v>486</v>
      </c>
      <c r="E59" s="7">
        <f>SUM(E49:E58)</f>
        <v>726</v>
      </c>
      <c r="I59" s="24" t="s">
        <v>23</v>
      </c>
      <c r="J59" s="24"/>
      <c r="K59" s="7">
        <f>SUM(K49:K58)</f>
        <v>1205</v>
      </c>
      <c r="L59" s="7">
        <f>SUM(L49:L58)</f>
        <v>534</v>
      </c>
      <c r="M59" s="7">
        <f>SUM(M49:M58)</f>
        <v>671</v>
      </c>
    </row>
    <row r="61" spans="1:13" x14ac:dyDescent="0.3">
      <c r="A61" s="25" t="s">
        <v>22</v>
      </c>
      <c r="B61" s="25"/>
      <c r="C61" s="8">
        <f>C59+C45+C31+C17</f>
        <v>4665</v>
      </c>
      <c r="D61" s="8">
        <f t="shared" ref="D61:E61" si="0">D59+D45+D31+D17</f>
        <v>1839</v>
      </c>
      <c r="E61" s="8">
        <f t="shared" si="0"/>
        <v>2882</v>
      </c>
      <c r="I61" s="25" t="s">
        <v>31</v>
      </c>
      <c r="J61" s="25"/>
      <c r="K61" s="8">
        <f>K59+K45+K31+K17</f>
        <v>4540</v>
      </c>
      <c r="L61" s="8">
        <f t="shared" ref="L61:M61" si="1">L59+L45+L31+L17</f>
        <v>2118</v>
      </c>
      <c r="M61" s="8">
        <f t="shared" si="1"/>
        <v>2422</v>
      </c>
    </row>
    <row r="65" spans="3:10" x14ac:dyDescent="0.3">
      <c r="E65" s="23" t="s">
        <v>35</v>
      </c>
      <c r="F65" s="23"/>
      <c r="I65" s="23" t="s">
        <v>37</v>
      </c>
      <c r="J65" s="23"/>
    </row>
    <row r="66" spans="3:10" x14ac:dyDescent="0.3">
      <c r="C66" s="5"/>
      <c r="E66" s="10" t="s">
        <v>32</v>
      </c>
      <c r="F66" s="10">
        <f>C61+K61</f>
        <v>9205</v>
      </c>
      <c r="I66" s="10" t="s">
        <v>36</v>
      </c>
      <c r="J66" s="11">
        <f>F67/F66</f>
        <v>0.4298750678978816</v>
      </c>
    </row>
    <row r="67" spans="3:10" x14ac:dyDescent="0.3">
      <c r="C67" s="5"/>
      <c r="E67" s="10" t="s">
        <v>33</v>
      </c>
      <c r="F67" s="10">
        <f>D61+L61</f>
        <v>3957</v>
      </c>
      <c r="I67" s="10" t="s">
        <v>34</v>
      </c>
      <c r="J67" s="11">
        <f>F68/F66</f>
        <v>0.57620858229223249</v>
      </c>
    </row>
    <row r="68" spans="3:10" x14ac:dyDescent="0.3">
      <c r="C68" s="6"/>
      <c r="E68" s="10" t="s">
        <v>34</v>
      </c>
      <c r="F68" s="10">
        <f>E61+M61</f>
        <v>5304</v>
      </c>
    </row>
  </sheetData>
  <mergeCells count="23">
    <mergeCell ref="A33:E33"/>
    <mergeCell ref="I33:M33"/>
    <mergeCell ref="A47:E47"/>
    <mergeCell ref="I47:M47"/>
    <mergeCell ref="A1:M1"/>
    <mergeCell ref="A3:E3"/>
    <mergeCell ref="I3:M3"/>
    <mergeCell ref="A5:E5"/>
    <mergeCell ref="I5:M5"/>
    <mergeCell ref="A19:E19"/>
    <mergeCell ref="I19:M19"/>
    <mergeCell ref="A17:B17"/>
    <mergeCell ref="I17:J17"/>
    <mergeCell ref="I31:J31"/>
    <mergeCell ref="A31:B31"/>
    <mergeCell ref="A45:B45"/>
    <mergeCell ref="E65:F65"/>
    <mergeCell ref="I65:J65"/>
    <mergeCell ref="A59:B59"/>
    <mergeCell ref="I59:J59"/>
    <mergeCell ref="I45:J45"/>
    <mergeCell ref="A61:B61"/>
    <mergeCell ref="I61:J6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0F91B-6237-424B-B59B-B75AF6C45153}">
  <dimension ref="A1:M68"/>
  <sheetViews>
    <sheetView workbookViewId="0">
      <selection sqref="A1:M1"/>
    </sheetView>
  </sheetViews>
  <sheetFormatPr defaultRowHeight="14.4" x14ac:dyDescent="0.3"/>
  <cols>
    <col min="1" max="1" width="11.77734375" bestFit="1" customWidth="1"/>
    <col min="2" max="2" width="12" bestFit="1" customWidth="1"/>
    <col min="3" max="3" width="20.44140625" bestFit="1" customWidth="1"/>
    <col min="4" max="4" width="14.44140625" bestFit="1" customWidth="1"/>
    <col min="5" max="5" width="15.5546875" bestFit="1" customWidth="1"/>
    <col min="6" max="6" width="5" bestFit="1" customWidth="1"/>
    <col min="7" max="7" width="2.77734375" customWidth="1"/>
    <col min="8" max="8" width="3.109375" customWidth="1"/>
    <col min="9" max="9" width="11.77734375" bestFit="1" customWidth="1"/>
    <col min="10" max="10" width="12" bestFit="1" customWidth="1"/>
    <col min="11" max="11" width="20.44140625" bestFit="1" customWidth="1"/>
    <col min="12" max="12" width="14.44140625" bestFit="1" customWidth="1"/>
    <col min="13" max="13" width="15.5546875" bestFit="1" customWidth="1"/>
  </cols>
  <sheetData>
    <row r="1" spans="1:13" ht="18" x14ac:dyDescent="0.35">
      <c r="A1" s="28" t="s">
        <v>27</v>
      </c>
      <c r="B1" s="28"/>
      <c r="C1" s="28"/>
      <c r="D1" s="28"/>
      <c r="E1" s="28"/>
      <c r="F1" s="28"/>
      <c r="G1" s="28"/>
      <c r="H1" s="28"/>
      <c r="I1" s="28"/>
      <c r="J1" s="28"/>
      <c r="K1" s="28"/>
      <c r="L1" s="28"/>
      <c r="M1" s="28"/>
    </row>
    <row r="3" spans="1:13" ht="15.6" x14ac:dyDescent="0.3">
      <c r="A3" s="29" t="s">
        <v>0</v>
      </c>
      <c r="B3" s="29"/>
      <c r="C3" s="29"/>
      <c r="D3" s="29"/>
      <c r="E3" s="29"/>
      <c r="G3" s="1"/>
      <c r="I3" s="29" t="s">
        <v>1</v>
      </c>
      <c r="J3" s="29"/>
      <c r="K3" s="29"/>
      <c r="L3" s="29"/>
      <c r="M3" s="29"/>
    </row>
    <row r="4" spans="1:13" ht="15.6" x14ac:dyDescent="0.3">
      <c r="A4" s="2"/>
      <c r="B4" s="2"/>
      <c r="C4" s="2"/>
      <c r="D4" s="2"/>
      <c r="E4" s="2"/>
      <c r="G4" s="1"/>
      <c r="I4" s="2"/>
      <c r="J4" s="2"/>
      <c r="K4" s="2"/>
      <c r="L4" s="2"/>
      <c r="M4" s="2"/>
    </row>
    <row r="5" spans="1:13" x14ac:dyDescent="0.3">
      <c r="A5" s="26" t="s">
        <v>2</v>
      </c>
      <c r="B5" s="26"/>
      <c r="C5" s="26"/>
      <c r="D5" s="26"/>
      <c r="E5" s="26"/>
      <c r="G5" s="1"/>
      <c r="I5" s="26" t="s">
        <v>2</v>
      </c>
      <c r="J5" s="26"/>
      <c r="K5" s="26"/>
      <c r="L5" s="26"/>
      <c r="M5" s="26"/>
    </row>
    <row r="6" spans="1:13" x14ac:dyDescent="0.3">
      <c r="A6" s="3" t="s">
        <v>3</v>
      </c>
      <c r="B6" s="3" t="s">
        <v>4</v>
      </c>
      <c r="C6" s="3" t="s">
        <v>5</v>
      </c>
      <c r="D6" s="3" t="s">
        <v>6</v>
      </c>
      <c r="E6" s="3" t="s">
        <v>7</v>
      </c>
      <c r="G6" s="1"/>
      <c r="I6" s="3" t="s">
        <v>3</v>
      </c>
      <c r="J6" s="3" t="s">
        <v>4</v>
      </c>
      <c r="K6" s="3" t="s">
        <v>5</v>
      </c>
      <c r="L6" s="3" t="s">
        <v>6</v>
      </c>
      <c r="M6" s="3" t="s">
        <v>7</v>
      </c>
    </row>
    <row r="7" spans="1:13" x14ac:dyDescent="0.3">
      <c r="A7" s="4" t="s">
        <v>8</v>
      </c>
      <c r="B7" s="4">
        <v>189.65</v>
      </c>
      <c r="C7" s="4">
        <v>29</v>
      </c>
      <c r="D7" s="4">
        <v>12</v>
      </c>
      <c r="E7" s="4">
        <v>17</v>
      </c>
      <c r="G7" s="1"/>
      <c r="I7" s="4" t="s">
        <v>8</v>
      </c>
      <c r="J7" s="4">
        <v>2692.94</v>
      </c>
      <c r="K7" s="4">
        <v>31</v>
      </c>
      <c r="L7" s="4">
        <v>19</v>
      </c>
      <c r="M7" s="4">
        <v>12</v>
      </c>
    </row>
    <row r="8" spans="1:13" x14ac:dyDescent="0.3">
      <c r="A8" s="4" t="s">
        <v>9</v>
      </c>
      <c r="B8" s="4">
        <v>-29</v>
      </c>
      <c r="C8" s="4">
        <v>32</v>
      </c>
      <c r="D8" s="4">
        <v>12</v>
      </c>
      <c r="E8" s="4">
        <v>20</v>
      </c>
      <c r="G8" s="1"/>
      <c r="I8" s="4" t="s">
        <v>9</v>
      </c>
      <c r="J8" s="4">
        <v>470.65</v>
      </c>
      <c r="K8" s="4">
        <v>35</v>
      </c>
      <c r="L8" s="4">
        <v>16</v>
      </c>
      <c r="M8" s="4">
        <v>19</v>
      </c>
    </row>
    <row r="9" spans="1:13" x14ac:dyDescent="0.3">
      <c r="A9" s="4" t="s">
        <v>10</v>
      </c>
      <c r="B9" s="4">
        <v>-962.39</v>
      </c>
      <c r="C9" s="4">
        <v>28</v>
      </c>
      <c r="D9" s="4">
        <v>10</v>
      </c>
      <c r="E9" s="4">
        <v>18</v>
      </c>
      <c r="G9" s="1"/>
      <c r="I9" s="4" t="s">
        <v>10</v>
      </c>
      <c r="J9" s="4">
        <v>817.74</v>
      </c>
      <c r="K9" s="4">
        <v>26</v>
      </c>
      <c r="L9" s="4">
        <v>13</v>
      </c>
      <c r="M9" s="4">
        <v>13</v>
      </c>
    </row>
    <row r="10" spans="1:13" x14ac:dyDescent="0.3">
      <c r="A10" s="4" t="s">
        <v>11</v>
      </c>
      <c r="B10" s="4">
        <v>398.65</v>
      </c>
      <c r="C10" s="4">
        <v>35</v>
      </c>
      <c r="D10" s="4">
        <v>15</v>
      </c>
      <c r="E10" s="4">
        <v>20</v>
      </c>
      <c r="G10" s="1"/>
      <c r="I10" s="4" t="s">
        <v>11</v>
      </c>
      <c r="J10" s="4">
        <v>234.23</v>
      </c>
      <c r="K10" s="4">
        <v>39</v>
      </c>
      <c r="L10" s="4">
        <v>14</v>
      </c>
      <c r="M10" s="4">
        <v>25</v>
      </c>
    </row>
    <row r="11" spans="1:13" x14ac:dyDescent="0.3">
      <c r="A11" s="4" t="s">
        <v>12</v>
      </c>
      <c r="B11" s="4">
        <v>1346.85</v>
      </c>
      <c r="C11" s="4">
        <v>39</v>
      </c>
      <c r="D11" s="4">
        <v>17</v>
      </c>
      <c r="E11" s="4">
        <v>22</v>
      </c>
      <c r="G11" s="1"/>
      <c r="I11" s="4" t="s">
        <v>12</v>
      </c>
      <c r="J11" s="4">
        <v>-39.049999999999997</v>
      </c>
      <c r="K11" s="4">
        <v>42</v>
      </c>
      <c r="L11" s="4">
        <v>16</v>
      </c>
      <c r="M11" s="4">
        <v>26</v>
      </c>
    </row>
    <row r="12" spans="1:13" x14ac:dyDescent="0.3">
      <c r="A12" s="4" t="s">
        <v>13</v>
      </c>
      <c r="B12" s="4">
        <v>-2394.14</v>
      </c>
      <c r="C12" s="4">
        <v>39</v>
      </c>
      <c r="D12" s="4">
        <v>11</v>
      </c>
      <c r="E12" s="4">
        <v>28</v>
      </c>
      <c r="G12" s="1"/>
      <c r="I12" s="4" t="s">
        <v>13</v>
      </c>
      <c r="J12" s="4">
        <v>814.25</v>
      </c>
      <c r="K12" s="4">
        <v>43</v>
      </c>
      <c r="L12" s="4">
        <v>19</v>
      </c>
      <c r="M12" s="4">
        <v>24</v>
      </c>
    </row>
    <row r="13" spans="1:13" x14ac:dyDescent="0.3">
      <c r="A13" s="4" t="s">
        <v>14</v>
      </c>
      <c r="B13" s="4">
        <v>-897.29</v>
      </c>
      <c r="C13" s="4">
        <v>31</v>
      </c>
      <c r="D13" s="4">
        <v>10</v>
      </c>
      <c r="E13" s="4">
        <v>21</v>
      </c>
      <c r="G13" s="1"/>
      <c r="I13" s="4" t="s">
        <v>14</v>
      </c>
      <c r="J13" s="4">
        <v>-385.75</v>
      </c>
      <c r="K13" s="4">
        <v>24</v>
      </c>
      <c r="L13" s="4">
        <v>14</v>
      </c>
      <c r="M13" s="4">
        <v>20</v>
      </c>
    </row>
    <row r="14" spans="1:13" x14ac:dyDescent="0.3">
      <c r="A14" s="4" t="s">
        <v>15</v>
      </c>
      <c r="B14" s="4">
        <v>1315.66</v>
      </c>
      <c r="C14" s="4">
        <v>21</v>
      </c>
      <c r="D14" s="4">
        <v>9</v>
      </c>
      <c r="E14" s="4">
        <v>12</v>
      </c>
      <c r="G14" s="1"/>
      <c r="I14" s="4" t="s">
        <v>15</v>
      </c>
      <c r="J14" s="4">
        <v>293.95</v>
      </c>
      <c r="K14" s="4">
        <v>24</v>
      </c>
      <c r="L14" s="4">
        <v>9</v>
      </c>
      <c r="M14" s="4">
        <v>15</v>
      </c>
    </row>
    <row r="15" spans="1:13" x14ac:dyDescent="0.3">
      <c r="A15" s="4" t="s">
        <v>16</v>
      </c>
      <c r="B15" s="4">
        <v>951.76</v>
      </c>
      <c r="C15" s="4">
        <v>27</v>
      </c>
      <c r="D15" s="4">
        <v>11</v>
      </c>
      <c r="E15" s="4">
        <v>16</v>
      </c>
      <c r="G15" s="1"/>
      <c r="I15" s="4" t="s">
        <v>16</v>
      </c>
      <c r="J15" s="4">
        <v>1770.75</v>
      </c>
      <c r="K15" s="4">
        <v>33</v>
      </c>
      <c r="L15" s="4">
        <v>15</v>
      </c>
      <c r="M15" s="4">
        <v>18</v>
      </c>
    </row>
    <row r="16" spans="1:13" x14ac:dyDescent="0.3">
      <c r="A16" s="4" t="s">
        <v>17</v>
      </c>
      <c r="B16" s="4">
        <v>327.68</v>
      </c>
      <c r="C16" s="4">
        <v>37</v>
      </c>
      <c r="D16" s="4">
        <v>16</v>
      </c>
      <c r="E16" s="4">
        <v>21</v>
      </c>
      <c r="G16" s="1"/>
      <c r="I16" s="4" t="s">
        <v>17</v>
      </c>
      <c r="J16" s="4">
        <v>-283.14999999999998</v>
      </c>
      <c r="K16" s="4">
        <v>43</v>
      </c>
      <c r="L16" s="4">
        <v>16</v>
      </c>
      <c r="M16" s="4">
        <v>27</v>
      </c>
    </row>
    <row r="17" spans="1:13" x14ac:dyDescent="0.3">
      <c r="A17" s="24" t="s">
        <v>23</v>
      </c>
      <c r="B17" s="24"/>
      <c r="C17" s="7">
        <f>SUM(C7:C16)</f>
        <v>318</v>
      </c>
      <c r="D17" s="7">
        <f>SUM(D7:D16)</f>
        <v>123</v>
      </c>
      <c r="E17" s="7">
        <f>SUM(E7:E16)</f>
        <v>195</v>
      </c>
      <c r="G17" s="1"/>
      <c r="I17" s="24" t="s">
        <v>23</v>
      </c>
      <c r="J17" s="24"/>
      <c r="K17" s="7">
        <f>SUM(K7:K16)</f>
        <v>340</v>
      </c>
      <c r="L17" s="7">
        <f>SUM(L7:L16)</f>
        <v>151</v>
      </c>
      <c r="M17" s="7">
        <f>SUM(M7:M16)</f>
        <v>199</v>
      </c>
    </row>
    <row r="18" spans="1:13" x14ac:dyDescent="0.3">
      <c r="G18" s="1"/>
    </row>
    <row r="19" spans="1:13" x14ac:dyDescent="0.3">
      <c r="A19" s="26" t="s">
        <v>18</v>
      </c>
      <c r="B19" s="26"/>
      <c r="C19" s="26"/>
      <c r="D19" s="26"/>
      <c r="E19" s="26"/>
      <c r="G19" s="1"/>
      <c r="I19" s="26" t="s">
        <v>18</v>
      </c>
      <c r="J19" s="26"/>
      <c r="K19" s="26"/>
      <c r="L19" s="26"/>
      <c r="M19" s="26"/>
    </row>
    <row r="20" spans="1:13" x14ac:dyDescent="0.3">
      <c r="A20" s="3" t="s">
        <v>3</v>
      </c>
      <c r="B20" s="3" t="s">
        <v>4</v>
      </c>
      <c r="C20" s="3" t="s">
        <v>5</v>
      </c>
      <c r="D20" s="3" t="s">
        <v>6</v>
      </c>
      <c r="E20" s="3" t="s">
        <v>7</v>
      </c>
      <c r="G20" s="1"/>
      <c r="I20" s="3" t="s">
        <v>3</v>
      </c>
      <c r="J20" s="3" t="s">
        <v>4</v>
      </c>
      <c r="K20" s="3" t="s">
        <v>5</v>
      </c>
      <c r="L20" s="3" t="s">
        <v>6</v>
      </c>
      <c r="M20" s="3" t="s">
        <v>7</v>
      </c>
    </row>
    <row r="21" spans="1:13" x14ac:dyDescent="0.3">
      <c r="A21" s="4" t="s">
        <v>8</v>
      </c>
      <c r="B21" s="4">
        <v>350.2</v>
      </c>
      <c r="C21" s="4">
        <v>24</v>
      </c>
      <c r="D21" s="4">
        <v>10</v>
      </c>
      <c r="E21" s="4">
        <v>14</v>
      </c>
      <c r="G21" s="1"/>
      <c r="I21" s="4" t="s">
        <v>8</v>
      </c>
      <c r="J21" s="4">
        <v>249.25</v>
      </c>
      <c r="K21" s="4">
        <v>33</v>
      </c>
      <c r="L21" s="4">
        <v>17</v>
      </c>
      <c r="M21" s="4">
        <v>16</v>
      </c>
    </row>
    <row r="22" spans="1:13" x14ac:dyDescent="0.3">
      <c r="A22" s="4" t="s">
        <v>9</v>
      </c>
      <c r="B22" s="4">
        <v>676.07</v>
      </c>
      <c r="C22" s="4">
        <v>19</v>
      </c>
      <c r="D22" s="4">
        <v>11</v>
      </c>
      <c r="E22" s="4">
        <v>8</v>
      </c>
      <c r="G22" s="1"/>
      <c r="I22" s="4" t="s">
        <v>9</v>
      </c>
      <c r="J22" s="4">
        <v>-945.3</v>
      </c>
      <c r="K22" s="4">
        <v>25</v>
      </c>
      <c r="L22" s="4">
        <v>11</v>
      </c>
      <c r="M22" s="4">
        <v>14</v>
      </c>
    </row>
    <row r="23" spans="1:13" x14ac:dyDescent="0.3">
      <c r="A23" s="4" t="s">
        <v>10</v>
      </c>
      <c r="B23" s="4">
        <v>-120.44</v>
      </c>
      <c r="C23" s="4">
        <v>29</v>
      </c>
      <c r="D23" s="4">
        <v>13</v>
      </c>
      <c r="E23" s="4">
        <v>16</v>
      </c>
      <c r="G23" s="1"/>
      <c r="I23" s="4" t="s">
        <v>10</v>
      </c>
      <c r="J23" s="4">
        <v>-616.4</v>
      </c>
      <c r="K23" s="4">
        <v>27</v>
      </c>
      <c r="L23" s="4">
        <v>10</v>
      </c>
      <c r="M23" s="4">
        <v>17</v>
      </c>
    </row>
    <row r="24" spans="1:13" x14ac:dyDescent="0.3">
      <c r="A24" s="4" t="s">
        <v>11</v>
      </c>
      <c r="B24" s="4">
        <v>-128.29</v>
      </c>
      <c r="C24" s="4">
        <v>29</v>
      </c>
      <c r="D24" s="4">
        <v>10</v>
      </c>
      <c r="E24" s="4">
        <v>19</v>
      </c>
      <c r="G24" s="1"/>
      <c r="I24" s="4" t="s">
        <v>11</v>
      </c>
      <c r="J24" s="4">
        <v>-282.57</v>
      </c>
      <c r="K24" s="4">
        <v>32</v>
      </c>
      <c r="L24" s="4">
        <v>14</v>
      </c>
      <c r="M24" s="4">
        <v>18</v>
      </c>
    </row>
    <row r="25" spans="1:13" x14ac:dyDescent="0.3">
      <c r="A25" s="4" t="s">
        <v>12</v>
      </c>
      <c r="B25" s="4">
        <v>535.54999999999995</v>
      </c>
      <c r="C25" s="4">
        <v>32</v>
      </c>
      <c r="D25" s="4">
        <v>16</v>
      </c>
      <c r="E25" s="4">
        <v>16</v>
      </c>
      <c r="G25" s="1"/>
      <c r="I25" s="4" t="s">
        <v>12</v>
      </c>
      <c r="J25" s="4">
        <v>-1507.7</v>
      </c>
      <c r="K25" s="4">
        <v>41</v>
      </c>
      <c r="L25" s="4">
        <v>13</v>
      </c>
      <c r="M25" s="4">
        <v>28</v>
      </c>
    </row>
    <row r="26" spans="1:13" x14ac:dyDescent="0.3">
      <c r="A26" s="4" t="s">
        <v>13</v>
      </c>
      <c r="B26" s="4">
        <v>-1423.39</v>
      </c>
      <c r="C26" s="4">
        <v>32</v>
      </c>
      <c r="D26" s="4">
        <v>9</v>
      </c>
      <c r="E26" s="4">
        <v>23</v>
      </c>
      <c r="G26" s="1"/>
      <c r="I26" s="4" t="s">
        <v>13</v>
      </c>
      <c r="J26" s="4">
        <v>1206.69</v>
      </c>
      <c r="K26" s="4">
        <v>36</v>
      </c>
      <c r="L26" s="4">
        <v>17</v>
      </c>
      <c r="M26" s="4">
        <v>19</v>
      </c>
    </row>
    <row r="27" spans="1:13" x14ac:dyDescent="0.3">
      <c r="A27" s="4" t="s">
        <v>14</v>
      </c>
      <c r="B27" s="4">
        <v>981.4</v>
      </c>
      <c r="C27" s="4">
        <v>40</v>
      </c>
      <c r="D27" s="4">
        <v>19</v>
      </c>
      <c r="E27" s="4">
        <v>21</v>
      </c>
      <c r="G27" s="1"/>
      <c r="I27" s="4" t="s">
        <v>14</v>
      </c>
      <c r="J27" s="4">
        <v>-1521.25</v>
      </c>
      <c r="K27" s="4">
        <v>43</v>
      </c>
      <c r="L27" s="4">
        <v>14</v>
      </c>
      <c r="M27" s="4">
        <v>29</v>
      </c>
    </row>
    <row r="28" spans="1:13" x14ac:dyDescent="0.3">
      <c r="A28" s="4" t="s">
        <v>15</v>
      </c>
      <c r="B28" s="4">
        <v>-1914.33</v>
      </c>
      <c r="C28" s="4">
        <v>28</v>
      </c>
      <c r="D28" s="4">
        <v>6</v>
      </c>
      <c r="E28" s="4">
        <v>22</v>
      </c>
      <c r="G28" s="1"/>
      <c r="I28" s="4" t="s">
        <v>15</v>
      </c>
      <c r="J28" s="4">
        <v>1773.53</v>
      </c>
      <c r="K28" s="4">
        <v>21</v>
      </c>
      <c r="L28" s="4">
        <v>10</v>
      </c>
      <c r="M28" s="4">
        <v>11</v>
      </c>
    </row>
    <row r="29" spans="1:13" x14ac:dyDescent="0.3">
      <c r="A29" s="4" t="s">
        <v>16</v>
      </c>
      <c r="B29" s="4">
        <v>322.29000000000002</v>
      </c>
      <c r="C29" s="4">
        <v>34</v>
      </c>
      <c r="D29" s="4">
        <v>12</v>
      </c>
      <c r="E29" s="4">
        <v>22</v>
      </c>
      <c r="G29" s="1"/>
      <c r="I29" s="4" t="s">
        <v>16</v>
      </c>
      <c r="J29" s="4">
        <v>584.19000000000005</v>
      </c>
      <c r="K29" s="4">
        <v>34</v>
      </c>
      <c r="L29" s="4">
        <v>16</v>
      </c>
      <c r="M29" s="4">
        <v>18</v>
      </c>
    </row>
    <row r="30" spans="1:13" x14ac:dyDescent="0.3">
      <c r="A30" s="4" t="s">
        <v>17</v>
      </c>
      <c r="B30" s="4">
        <v>-3035.07</v>
      </c>
      <c r="C30" s="4">
        <v>48</v>
      </c>
      <c r="D30" s="4">
        <v>11</v>
      </c>
      <c r="E30" s="4">
        <v>37</v>
      </c>
      <c r="G30" s="1"/>
      <c r="I30" s="4" t="s">
        <v>17</v>
      </c>
      <c r="J30" s="4">
        <v>1191.58</v>
      </c>
      <c r="K30" s="4">
        <v>45</v>
      </c>
      <c r="L30" s="4">
        <v>19</v>
      </c>
      <c r="M30" s="4">
        <v>26</v>
      </c>
    </row>
    <row r="31" spans="1:13" x14ac:dyDescent="0.3">
      <c r="A31" s="24" t="s">
        <v>23</v>
      </c>
      <c r="B31" s="24"/>
      <c r="C31" s="7">
        <f>SUM(C21:C30)</f>
        <v>315</v>
      </c>
      <c r="D31" s="7">
        <f>SUM(D21:D30)</f>
        <v>117</v>
      </c>
      <c r="E31" s="7">
        <f>SUM(E21:E30)</f>
        <v>198</v>
      </c>
      <c r="G31" s="1"/>
      <c r="I31" s="24" t="s">
        <v>23</v>
      </c>
      <c r="J31" s="24"/>
      <c r="K31" s="7">
        <f>SUM(K21:K30)</f>
        <v>337</v>
      </c>
      <c r="L31" s="7">
        <f>SUM(L21:L30)</f>
        <v>141</v>
      </c>
      <c r="M31" s="7">
        <f>SUM(M21:M30)</f>
        <v>196</v>
      </c>
    </row>
    <row r="32" spans="1:13" x14ac:dyDescent="0.3">
      <c r="G32" s="1"/>
    </row>
    <row r="33" spans="1:13" x14ac:dyDescent="0.3">
      <c r="A33" s="26" t="s">
        <v>19</v>
      </c>
      <c r="B33" s="26"/>
      <c r="C33" s="26"/>
      <c r="D33" s="26"/>
      <c r="E33" s="26"/>
      <c r="G33" s="1"/>
      <c r="I33" s="27" t="s">
        <v>19</v>
      </c>
      <c r="J33" s="27"/>
      <c r="K33" s="27"/>
      <c r="L33" s="27"/>
      <c r="M33" s="27"/>
    </row>
    <row r="34" spans="1:13" x14ac:dyDescent="0.3">
      <c r="A34" s="3" t="s">
        <v>3</v>
      </c>
      <c r="B34" s="3" t="s">
        <v>4</v>
      </c>
      <c r="C34" s="3" t="s">
        <v>5</v>
      </c>
      <c r="D34" s="3" t="s">
        <v>6</v>
      </c>
      <c r="E34" s="3" t="s">
        <v>7</v>
      </c>
      <c r="G34" s="1"/>
      <c r="I34" s="3" t="s">
        <v>3</v>
      </c>
      <c r="J34" s="3" t="s">
        <v>4</v>
      </c>
      <c r="K34" s="3" t="s">
        <v>5</v>
      </c>
      <c r="L34" s="3" t="s">
        <v>6</v>
      </c>
      <c r="M34" s="3" t="s">
        <v>7</v>
      </c>
    </row>
    <row r="35" spans="1:13" x14ac:dyDescent="0.3">
      <c r="A35" s="4" t="s">
        <v>8</v>
      </c>
      <c r="B35" s="4">
        <v>878.95</v>
      </c>
      <c r="C35" s="4">
        <v>22</v>
      </c>
      <c r="D35" s="4">
        <v>11</v>
      </c>
      <c r="E35" s="4">
        <v>11</v>
      </c>
      <c r="G35" s="1"/>
      <c r="I35" s="4" t="s">
        <v>8</v>
      </c>
      <c r="J35" s="4">
        <v>1672.49</v>
      </c>
      <c r="K35" s="4">
        <v>26</v>
      </c>
      <c r="L35" s="4">
        <v>16</v>
      </c>
      <c r="M35" s="4">
        <v>10</v>
      </c>
    </row>
    <row r="36" spans="1:13" x14ac:dyDescent="0.3">
      <c r="A36" s="4" t="s">
        <v>9</v>
      </c>
      <c r="B36" s="4">
        <v>723.8</v>
      </c>
      <c r="C36" s="4">
        <v>21</v>
      </c>
      <c r="D36" s="4">
        <v>8</v>
      </c>
      <c r="E36" s="4">
        <v>13</v>
      </c>
      <c r="G36" s="1"/>
      <c r="I36" s="4" t="s">
        <v>9</v>
      </c>
      <c r="J36" s="4">
        <v>712.12</v>
      </c>
      <c r="K36" s="4">
        <v>24</v>
      </c>
      <c r="L36" s="4">
        <v>12</v>
      </c>
      <c r="M36" s="4">
        <v>12</v>
      </c>
    </row>
    <row r="37" spans="1:13" x14ac:dyDescent="0.3">
      <c r="A37" s="4" t="s">
        <v>10</v>
      </c>
      <c r="B37" s="4">
        <v>-347.34</v>
      </c>
      <c r="C37" s="4">
        <v>26</v>
      </c>
      <c r="D37" s="4">
        <v>11</v>
      </c>
      <c r="E37" s="4">
        <v>15</v>
      </c>
      <c r="G37" s="1"/>
      <c r="I37" s="4" t="s">
        <v>10</v>
      </c>
      <c r="J37" s="4">
        <v>177.75</v>
      </c>
      <c r="K37" s="4">
        <v>28</v>
      </c>
      <c r="L37" s="4">
        <v>12</v>
      </c>
      <c r="M37" s="4">
        <v>16</v>
      </c>
    </row>
    <row r="38" spans="1:13" x14ac:dyDescent="0.3">
      <c r="A38" s="4" t="s">
        <v>11</v>
      </c>
      <c r="B38" s="4">
        <v>613.59</v>
      </c>
      <c r="C38" s="4">
        <v>36</v>
      </c>
      <c r="D38" s="4">
        <v>12</v>
      </c>
      <c r="E38" s="4">
        <v>14</v>
      </c>
      <c r="G38" s="1"/>
      <c r="I38" s="4" t="s">
        <v>11</v>
      </c>
      <c r="J38" s="4">
        <v>-65.17</v>
      </c>
      <c r="K38" s="4">
        <v>28</v>
      </c>
      <c r="L38" s="4">
        <v>12</v>
      </c>
      <c r="M38" s="4">
        <v>16</v>
      </c>
    </row>
    <row r="39" spans="1:13" x14ac:dyDescent="0.3">
      <c r="A39" s="4" t="s">
        <v>12</v>
      </c>
      <c r="B39" s="4">
        <v>396.45</v>
      </c>
      <c r="C39" s="4">
        <v>30</v>
      </c>
      <c r="D39" s="4">
        <v>13</v>
      </c>
      <c r="E39" s="4">
        <v>17</v>
      </c>
      <c r="G39" s="1"/>
      <c r="I39" s="4" t="s">
        <v>12</v>
      </c>
      <c r="J39" s="4">
        <v>-365.35</v>
      </c>
      <c r="K39" s="4">
        <v>31</v>
      </c>
      <c r="L39" s="4">
        <v>13</v>
      </c>
      <c r="M39" s="4">
        <v>18</v>
      </c>
    </row>
    <row r="40" spans="1:13" x14ac:dyDescent="0.3">
      <c r="A40" s="4" t="s">
        <v>13</v>
      </c>
      <c r="B40" s="4">
        <v>-759.45</v>
      </c>
      <c r="C40" s="4">
        <v>39</v>
      </c>
      <c r="D40" s="4">
        <v>12</v>
      </c>
      <c r="E40" s="4">
        <v>27</v>
      </c>
      <c r="G40" s="1"/>
      <c r="I40" s="4" t="s">
        <v>13</v>
      </c>
      <c r="J40" s="4">
        <v>677.79</v>
      </c>
      <c r="K40" s="4">
        <v>35</v>
      </c>
      <c r="L40" s="4">
        <v>18</v>
      </c>
      <c r="M40" s="4">
        <v>17</v>
      </c>
    </row>
    <row r="41" spans="1:13" x14ac:dyDescent="0.3">
      <c r="A41" s="4" t="s">
        <v>14</v>
      </c>
      <c r="B41" s="4">
        <v>219.05</v>
      </c>
      <c r="C41" s="4">
        <v>27</v>
      </c>
      <c r="D41" s="4">
        <v>11</v>
      </c>
      <c r="E41" s="4">
        <v>16</v>
      </c>
      <c r="G41" s="1"/>
      <c r="I41" s="4" t="s">
        <v>14</v>
      </c>
      <c r="J41" s="4">
        <v>8.89</v>
      </c>
      <c r="K41" s="4">
        <v>30</v>
      </c>
      <c r="L41" s="4">
        <v>12</v>
      </c>
      <c r="M41" s="4">
        <v>18</v>
      </c>
    </row>
    <row r="42" spans="1:13" x14ac:dyDescent="0.3">
      <c r="A42" s="4" t="s">
        <v>15</v>
      </c>
      <c r="B42" s="4">
        <v>-1818.31</v>
      </c>
      <c r="C42" s="4">
        <v>25</v>
      </c>
      <c r="D42" s="4">
        <v>5</v>
      </c>
      <c r="E42" s="4">
        <v>20</v>
      </c>
      <c r="G42" s="1"/>
      <c r="I42" s="4" t="s">
        <v>15</v>
      </c>
      <c r="J42" s="4">
        <v>984.72</v>
      </c>
      <c r="K42" s="4">
        <v>22</v>
      </c>
      <c r="L42" s="4">
        <v>12</v>
      </c>
      <c r="M42" s="4">
        <v>10</v>
      </c>
    </row>
    <row r="43" spans="1:13" x14ac:dyDescent="0.3">
      <c r="A43" s="4" t="s">
        <v>16</v>
      </c>
      <c r="B43" s="4">
        <v>1259.1300000000001</v>
      </c>
      <c r="C43" s="4">
        <v>25</v>
      </c>
      <c r="D43" s="4">
        <v>11</v>
      </c>
      <c r="E43" s="4">
        <v>14</v>
      </c>
      <c r="G43" s="1"/>
      <c r="I43" s="4" t="s">
        <v>16</v>
      </c>
      <c r="J43" s="4">
        <v>512.91</v>
      </c>
      <c r="K43" s="4">
        <v>25</v>
      </c>
      <c r="L43" s="4">
        <v>12</v>
      </c>
      <c r="M43" s="4">
        <v>13</v>
      </c>
    </row>
    <row r="44" spans="1:13" x14ac:dyDescent="0.3">
      <c r="A44" s="4" t="s">
        <v>17</v>
      </c>
      <c r="B44" s="4">
        <v>-1460.35</v>
      </c>
      <c r="C44" s="4">
        <v>26</v>
      </c>
      <c r="D44" s="4">
        <v>8</v>
      </c>
      <c r="E44" s="4">
        <v>18</v>
      </c>
      <c r="G44" s="1"/>
      <c r="I44" s="4" t="s">
        <v>17</v>
      </c>
      <c r="J44" s="4">
        <v>1027.0899999999999</v>
      </c>
      <c r="K44" s="4">
        <v>27</v>
      </c>
      <c r="L44" s="4">
        <v>13</v>
      </c>
      <c r="M44" s="4">
        <v>14</v>
      </c>
    </row>
    <row r="45" spans="1:13" x14ac:dyDescent="0.3">
      <c r="A45" s="24" t="s">
        <v>23</v>
      </c>
      <c r="B45" s="24"/>
      <c r="C45" s="7">
        <f>SUM(C35:C44)</f>
        <v>277</v>
      </c>
      <c r="D45" s="7">
        <f>SUM(D35:D44)</f>
        <v>102</v>
      </c>
      <c r="E45" s="7">
        <f>SUM(E35:E44)</f>
        <v>165</v>
      </c>
      <c r="G45" s="1"/>
      <c r="I45" s="24" t="s">
        <v>23</v>
      </c>
      <c r="J45" s="24"/>
      <c r="K45" s="7">
        <f>SUM(K35:K44)</f>
        <v>276</v>
      </c>
      <c r="L45" s="7">
        <f>SUM(L35:L44)</f>
        <v>132</v>
      </c>
      <c r="M45" s="7">
        <f>SUM(M35:M44)</f>
        <v>144</v>
      </c>
    </row>
    <row r="46" spans="1:13" x14ac:dyDescent="0.3">
      <c r="G46" s="1"/>
    </row>
    <row r="47" spans="1:13" x14ac:dyDescent="0.3">
      <c r="A47" s="26" t="s">
        <v>20</v>
      </c>
      <c r="B47" s="26"/>
      <c r="C47" s="26"/>
      <c r="D47" s="26"/>
      <c r="E47" s="26"/>
      <c r="G47" s="1"/>
      <c r="I47" s="26" t="s">
        <v>20</v>
      </c>
      <c r="J47" s="26"/>
      <c r="K47" s="26"/>
      <c r="L47" s="26"/>
      <c r="M47" s="26"/>
    </row>
    <row r="48" spans="1:13" x14ac:dyDescent="0.3">
      <c r="A48" s="3" t="s">
        <v>3</v>
      </c>
      <c r="B48" s="3" t="s">
        <v>4</v>
      </c>
      <c r="C48" s="3" t="s">
        <v>5</v>
      </c>
      <c r="D48" s="3" t="s">
        <v>6</v>
      </c>
      <c r="E48" s="3" t="s">
        <v>7</v>
      </c>
      <c r="G48" s="1"/>
      <c r="I48" s="3" t="s">
        <v>3</v>
      </c>
      <c r="J48" s="3" t="s">
        <v>4</v>
      </c>
      <c r="K48" s="3" t="s">
        <v>5</v>
      </c>
      <c r="L48" s="3" t="s">
        <v>6</v>
      </c>
      <c r="M48" s="3" t="s">
        <v>7</v>
      </c>
    </row>
    <row r="49" spans="1:13" x14ac:dyDescent="0.3">
      <c r="A49" s="4" t="s">
        <v>8</v>
      </c>
      <c r="B49" s="4">
        <v>-270.64</v>
      </c>
      <c r="C49" s="4">
        <v>29</v>
      </c>
      <c r="D49" s="4">
        <v>15</v>
      </c>
      <c r="E49" s="4">
        <v>14</v>
      </c>
      <c r="G49" s="1"/>
      <c r="I49" s="4" t="s">
        <v>8</v>
      </c>
      <c r="J49" s="4">
        <v>-546.5</v>
      </c>
      <c r="K49" s="4">
        <v>33</v>
      </c>
      <c r="L49" s="4">
        <v>10</v>
      </c>
      <c r="M49" s="4">
        <v>23</v>
      </c>
    </row>
    <row r="50" spans="1:13" x14ac:dyDescent="0.3">
      <c r="A50" s="4" t="s">
        <v>9</v>
      </c>
      <c r="B50" s="4">
        <v>2127.75</v>
      </c>
      <c r="C50" s="4">
        <v>26</v>
      </c>
      <c r="D50" s="4">
        <v>15</v>
      </c>
      <c r="E50" s="4">
        <v>11</v>
      </c>
      <c r="G50" s="1"/>
      <c r="I50" s="4" t="s">
        <v>9</v>
      </c>
      <c r="J50" s="4">
        <v>327.69</v>
      </c>
      <c r="K50" s="4">
        <v>27</v>
      </c>
      <c r="L50" s="4">
        <v>10</v>
      </c>
      <c r="M50" s="4">
        <v>17</v>
      </c>
    </row>
    <row r="51" spans="1:13" x14ac:dyDescent="0.3">
      <c r="A51" s="4" t="s">
        <v>10</v>
      </c>
      <c r="B51" s="4">
        <v>1478.45</v>
      </c>
      <c r="C51" s="4">
        <v>33</v>
      </c>
      <c r="D51" s="4">
        <v>17</v>
      </c>
      <c r="E51" s="4">
        <v>16</v>
      </c>
      <c r="G51" s="1"/>
      <c r="I51" s="4" t="s">
        <v>10</v>
      </c>
      <c r="J51" s="4">
        <v>-308.60000000000002</v>
      </c>
      <c r="K51" s="4">
        <v>41</v>
      </c>
      <c r="L51" s="4">
        <v>16</v>
      </c>
      <c r="M51" s="4">
        <v>25</v>
      </c>
    </row>
    <row r="52" spans="1:13" x14ac:dyDescent="0.3">
      <c r="A52" s="4" t="s">
        <v>11</v>
      </c>
      <c r="B52" s="4">
        <v>334.16</v>
      </c>
      <c r="C52" s="4">
        <v>31</v>
      </c>
      <c r="D52" s="4">
        <v>13</v>
      </c>
      <c r="E52" s="4">
        <v>18</v>
      </c>
      <c r="G52" s="1"/>
      <c r="I52" s="4" t="s">
        <v>11</v>
      </c>
      <c r="J52" s="4">
        <v>2851.8</v>
      </c>
      <c r="K52" s="4">
        <v>35</v>
      </c>
      <c r="L52" s="4">
        <v>19</v>
      </c>
      <c r="M52" s="4">
        <v>16</v>
      </c>
    </row>
    <row r="53" spans="1:13" x14ac:dyDescent="0.3">
      <c r="A53" s="4" t="s">
        <v>12</v>
      </c>
      <c r="B53" s="4">
        <v>74.05</v>
      </c>
      <c r="C53" s="4">
        <v>24</v>
      </c>
      <c r="D53" s="4">
        <v>11</v>
      </c>
      <c r="E53" s="4">
        <v>13</v>
      </c>
      <c r="G53" s="1"/>
      <c r="I53" s="4" t="s">
        <v>12</v>
      </c>
      <c r="J53" s="4">
        <v>-197.3</v>
      </c>
      <c r="K53" s="4">
        <v>29</v>
      </c>
      <c r="L53" s="4">
        <v>12</v>
      </c>
      <c r="M53" s="4">
        <v>17</v>
      </c>
    </row>
    <row r="54" spans="1:13" x14ac:dyDescent="0.3">
      <c r="A54" s="4" t="s">
        <v>13</v>
      </c>
      <c r="B54" s="4">
        <v>-894.75</v>
      </c>
      <c r="C54" s="4">
        <v>36</v>
      </c>
      <c r="D54" s="4">
        <v>14</v>
      </c>
      <c r="E54" s="4">
        <v>22</v>
      </c>
      <c r="G54" s="1"/>
      <c r="I54" s="4" t="s">
        <v>13</v>
      </c>
      <c r="J54" s="4">
        <v>1255.92</v>
      </c>
      <c r="K54" s="4">
        <v>15</v>
      </c>
      <c r="L54" s="4">
        <v>18</v>
      </c>
      <c r="M54" s="4">
        <v>33</v>
      </c>
    </row>
    <row r="55" spans="1:13" x14ac:dyDescent="0.3">
      <c r="A55" s="4" t="s">
        <v>14</v>
      </c>
      <c r="B55" s="4">
        <v>-2291.64</v>
      </c>
      <c r="C55" s="4">
        <v>39</v>
      </c>
      <c r="D55" s="4">
        <v>11</v>
      </c>
      <c r="E55" s="4">
        <v>28</v>
      </c>
      <c r="G55" s="1"/>
      <c r="I55" s="4" t="s">
        <v>14</v>
      </c>
      <c r="J55" s="4">
        <v>1685.84</v>
      </c>
      <c r="K55" s="4">
        <v>37</v>
      </c>
      <c r="L55" s="4">
        <v>17</v>
      </c>
      <c r="M55" s="4">
        <v>20</v>
      </c>
    </row>
    <row r="56" spans="1:13" x14ac:dyDescent="0.3">
      <c r="A56" s="4" t="s">
        <v>15</v>
      </c>
      <c r="B56" s="4">
        <v>1125.78</v>
      </c>
      <c r="C56" s="4">
        <v>18</v>
      </c>
      <c r="D56" s="4">
        <v>8</v>
      </c>
      <c r="E56" s="4">
        <v>10</v>
      </c>
      <c r="G56" s="1"/>
      <c r="I56" s="4" t="s">
        <v>15</v>
      </c>
      <c r="J56" s="4">
        <v>2142.33</v>
      </c>
      <c r="K56" s="4">
        <v>17</v>
      </c>
      <c r="L56" s="4">
        <v>10</v>
      </c>
      <c r="M56" s="4">
        <v>7</v>
      </c>
    </row>
    <row r="57" spans="1:13" x14ac:dyDescent="0.3">
      <c r="A57" s="4" t="s">
        <v>16</v>
      </c>
      <c r="B57" s="4">
        <v>-1609.16</v>
      </c>
      <c r="C57" s="4">
        <v>32</v>
      </c>
      <c r="D57" s="4">
        <v>8</v>
      </c>
      <c r="E57" s="4">
        <v>24</v>
      </c>
      <c r="G57" s="1"/>
      <c r="I57" s="4" t="s">
        <v>16</v>
      </c>
      <c r="J57" s="4">
        <v>512.46</v>
      </c>
      <c r="K57" s="4">
        <v>32</v>
      </c>
      <c r="L57" s="4">
        <v>13</v>
      </c>
      <c r="M57" s="4">
        <v>19</v>
      </c>
    </row>
    <row r="58" spans="1:13" x14ac:dyDescent="0.3">
      <c r="A58" s="4" t="s">
        <v>17</v>
      </c>
      <c r="B58" s="4">
        <v>538</v>
      </c>
      <c r="C58" s="4">
        <v>25</v>
      </c>
      <c r="D58" s="4">
        <v>10</v>
      </c>
      <c r="E58" s="4">
        <v>15</v>
      </c>
      <c r="G58" s="1"/>
      <c r="I58" s="4" t="s">
        <v>17</v>
      </c>
      <c r="J58" s="4">
        <v>-151.63999999999999</v>
      </c>
      <c r="K58" s="4">
        <v>27</v>
      </c>
      <c r="L58" s="4">
        <v>10</v>
      </c>
      <c r="M58" s="4">
        <v>17</v>
      </c>
    </row>
    <row r="59" spans="1:13" x14ac:dyDescent="0.3">
      <c r="A59" s="24" t="s">
        <v>23</v>
      </c>
      <c r="B59" s="24"/>
      <c r="C59" s="7">
        <f>SUM(C49:C58)</f>
        <v>293</v>
      </c>
      <c r="D59" s="7">
        <f>SUM(D49:D58)</f>
        <v>122</v>
      </c>
      <c r="E59" s="7">
        <f>SUM(E49:E58)</f>
        <v>171</v>
      </c>
      <c r="I59" s="24" t="s">
        <v>23</v>
      </c>
      <c r="J59" s="24"/>
      <c r="K59" s="7">
        <f>SUM(K49:K58)</f>
        <v>293</v>
      </c>
      <c r="L59" s="7">
        <f>SUM(L49:L58)</f>
        <v>135</v>
      </c>
      <c r="M59" s="7">
        <f>SUM(M49:M58)</f>
        <v>194</v>
      </c>
    </row>
    <row r="61" spans="1:13" x14ac:dyDescent="0.3">
      <c r="A61" s="25" t="s">
        <v>22</v>
      </c>
      <c r="B61" s="25"/>
      <c r="C61" s="8">
        <f>C59+C45+C31+C17</f>
        <v>1203</v>
      </c>
      <c r="D61" s="8">
        <f t="shared" ref="D61:E61" si="0">D59+D45+D31+D17</f>
        <v>464</v>
      </c>
      <c r="E61" s="8">
        <f t="shared" si="0"/>
        <v>729</v>
      </c>
      <c r="I61" s="25" t="s">
        <v>31</v>
      </c>
      <c r="J61" s="25"/>
      <c r="K61" s="8">
        <f>K59+K45+K31+K17</f>
        <v>1246</v>
      </c>
      <c r="L61" s="8">
        <f t="shared" ref="L61:M61" si="1">L59+L45+L31+L17</f>
        <v>559</v>
      </c>
      <c r="M61" s="8">
        <f t="shared" si="1"/>
        <v>733</v>
      </c>
    </row>
    <row r="65" spans="3:10" x14ac:dyDescent="0.3">
      <c r="E65" s="23" t="s">
        <v>35</v>
      </c>
      <c r="F65" s="23"/>
      <c r="I65" s="23" t="s">
        <v>37</v>
      </c>
      <c r="J65" s="23"/>
    </row>
    <row r="66" spans="3:10" x14ac:dyDescent="0.3">
      <c r="C66" s="5"/>
      <c r="E66" s="10" t="s">
        <v>32</v>
      </c>
      <c r="F66" s="10">
        <f>C61+K61</f>
        <v>2449</v>
      </c>
      <c r="I66" s="10" t="s">
        <v>36</v>
      </c>
      <c r="J66" s="11">
        <f>F67/F66</f>
        <v>0.41772151898734178</v>
      </c>
    </row>
    <row r="67" spans="3:10" x14ac:dyDescent="0.3">
      <c r="C67" s="5"/>
      <c r="E67" s="10" t="s">
        <v>33</v>
      </c>
      <c r="F67" s="10">
        <f>D61+L61</f>
        <v>1023</v>
      </c>
      <c r="I67" s="10" t="s">
        <v>34</v>
      </c>
      <c r="J67" s="11">
        <f>F68/F66</f>
        <v>0.59697835851367909</v>
      </c>
    </row>
    <row r="68" spans="3:10" x14ac:dyDescent="0.3">
      <c r="C68" s="6"/>
      <c r="E68" s="10" t="s">
        <v>34</v>
      </c>
      <c r="F68" s="10">
        <f>E61+M61</f>
        <v>1462</v>
      </c>
    </row>
  </sheetData>
  <mergeCells count="23">
    <mergeCell ref="A33:E33"/>
    <mergeCell ref="I33:M33"/>
    <mergeCell ref="A47:E47"/>
    <mergeCell ref="I47:M47"/>
    <mergeCell ref="A1:M1"/>
    <mergeCell ref="A3:E3"/>
    <mergeCell ref="I3:M3"/>
    <mergeCell ref="A5:E5"/>
    <mergeCell ref="I5:M5"/>
    <mergeCell ref="A19:E19"/>
    <mergeCell ref="I19:M19"/>
    <mergeCell ref="A17:B17"/>
    <mergeCell ref="I17:J17"/>
    <mergeCell ref="I31:J31"/>
    <mergeCell ref="A31:B31"/>
    <mergeCell ref="A45:B45"/>
    <mergeCell ref="E65:F65"/>
    <mergeCell ref="I65:J65"/>
    <mergeCell ref="A59:B59"/>
    <mergeCell ref="I45:J45"/>
    <mergeCell ref="I59:J59"/>
    <mergeCell ref="A61:B61"/>
    <mergeCell ref="I61:J6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1DFD8-4704-42F0-99B5-99D077ECDF9A}">
  <dimension ref="A1:M68"/>
  <sheetViews>
    <sheetView workbookViewId="0">
      <selection sqref="A1:M1"/>
    </sheetView>
  </sheetViews>
  <sheetFormatPr defaultRowHeight="14.4" x14ac:dyDescent="0.3"/>
  <cols>
    <col min="1" max="1" width="11.77734375" bestFit="1" customWidth="1"/>
    <col min="2" max="2" width="12" bestFit="1" customWidth="1"/>
    <col min="3" max="3" width="20.44140625" bestFit="1" customWidth="1"/>
    <col min="4" max="4" width="14.44140625" bestFit="1" customWidth="1"/>
    <col min="5" max="5" width="15.5546875" bestFit="1" customWidth="1"/>
    <col min="6" max="6" width="5" bestFit="1" customWidth="1"/>
    <col min="7" max="7" width="2.77734375" customWidth="1"/>
    <col min="8" max="8" width="3.109375" customWidth="1"/>
    <col min="9" max="9" width="11.77734375" bestFit="1" customWidth="1"/>
    <col min="10" max="10" width="12" bestFit="1" customWidth="1"/>
    <col min="11" max="11" width="20.44140625" bestFit="1" customWidth="1"/>
    <col min="12" max="12" width="14.44140625" bestFit="1" customWidth="1"/>
    <col min="13" max="13" width="15.5546875" bestFit="1" customWidth="1"/>
  </cols>
  <sheetData>
    <row r="1" spans="1:13" ht="18" x14ac:dyDescent="0.35">
      <c r="A1" s="28" t="s">
        <v>28</v>
      </c>
      <c r="B1" s="28"/>
      <c r="C1" s="28"/>
      <c r="D1" s="28"/>
      <c r="E1" s="28"/>
      <c r="F1" s="28"/>
      <c r="G1" s="28"/>
      <c r="H1" s="28"/>
      <c r="I1" s="28"/>
      <c r="J1" s="28"/>
      <c r="K1" s="28"/>
      <c r="L1" s="28"/>
      <c r="M1" s="28"/>
    </row>
    <row r="3" spans="1:13" ht="15.6" x14ac:dyDescent="0.3">
      <c r="A3" s="29" t="s">
        <v>0</v>
      </c>
      <c r="B3" s="29"/>
      <c r="C3" s="29"/>
      <c r="D3" s="29"/>
      <c r="E3" s="29"/>
      <c r="G3" s="1"/>
      <c r="I3" s="29" t="s">
        <v>1</v>
      </c>
      <c r="J3" s="29"/>
      <c r="K3" s="29"/>
      <c r="L3" s="29"/>
      <c r="M3" s="29"/>
    </row>
    <row r="4" spans="1:13" ht="15.6" x14ac:dyDescent="0.3">
      <c r="A4" s="2"/>
      <c r="B4" s="2"/>
      <c r="C4" s="2"/>
      <c r="D4" s="2"/>
      <c r="E4" s="2"/>
      <c r="G4" s="1"/>
      <c r="I4" s="2"/>
      <c r="J4" s="2"/>
      <c r="K4" s="2"/>
      <c r="L4" s="2"/>
      <c r="M4" s="2"/>
    </row>
    <row r="5" spans="1:13" x14ac:dyDescent="0.3">
      <c r="A5" s="26" t="s">
        <v>2</v>
      </c>
      <c r="B5" s="26"/>
      <c r="C5" s="26"/>
      <c r="D5" s="26"/>
      <c r="E5" s="26"/>
      <c r="G5" s="1"/>
      <c r="I5" s="26" t="s">
        <v>2</v>
      </c>
      <c r="J5" s="26"/>
      <c r="K5" s="26"/>
      <c r="L5" s="26"/>
      <c r="M5" s="26"/>
    </row>
    <row r="6" spans="1:13" x14ac:dyDescent="0.3">
      <c r="A6" s="3" t="s">
        <v>3</v>
      </c>
      <c r="B6" s="3" t="s">
        <v>4</v>
      </c>
      <c r="C6" s="3" t="s">
        <v>5</v>
      </c>
      <c r="D6" s="3" t="s">
        <v>6</v>
      </c>
      <c r="E6" s="3" t="s">
        <v>7</v>
      </c>
      <c r="G6" s="1"/>
      <c r="I6" s="3" t="s">
        <v>3</v>
      </c>
      <c r="J6" s="3" t="s">
        <v>4</v>
      </c>
      <c r="K6" s="3" t="s">
        <v>5</v>
      </c>
      <c r="L6" s="3" t="s">
        <v>6</v>
      </c>
      <c r="M6" s="3" t="s">
        <v>7</v>
      </c>
    </row>
    <row r="7" spans="1:13" x14ac:dyDescent="0.3">
      <c r="A7" s="4" t="s">
        <v>8</v>
      </c>
      <c r="B7" s="4">
        <v>-476.19</v>
      </c>
      <c r="C7" s="4">
        <v>64</v>
      </c>
      <c r="D7" s="4">
        <v>30</v>
      </c>
      <c r="E7" s="4">
        <v>34</v>
      </c>
      <c r="G7" s="1"/>
      <c r="I7" s="4" t="s">
        <v>8</v>
      </c>
      <c r="J7" s="4">
        <v>1103.74</v>
      </c>
      <c r="K7" s="4">
        <v>61</v>
      </c>
      <c r="L7" s="4">
        <v>33</v>
      </c>
      <c r="M7" s="4">
        <v>28</v>
      </c>
    </row>
    <row r="8" spans="1:13" x14ac:dyDescent="0.3">
      <c r="A8" s="4" t="s">
        <v>9</v>
      </c>
      <c r="B8" s="4">
        <v>2125.23</v>
      </c>
      <c r="C8" s="4">
        <v>62</v>
      </c>
      <c r="D8" s="4">
        <v>33</v>
      </c>
      <c r="E8" s="4">
        <v>29</v>
      </c>
      <c r="G8" s="1"/>
      <c r="I8" s="4" t="s">
        <v>9</v>
      </c>
      <c r="J8" s="4">
        <v>-272.52999999999997</v>
      </c>
      <c r="K8" s="4">
        <v>62</v>
      </c>
      <c r="L8" s="4">
        <v>28</v>
      </c>
      <c r="M8" s="4">
        <v>34</v>
      </c>
    </row>
    <row r="9" spans="1:13" x14ac:dyDescent="0.3">
      <c r="A9" s="4" t="s">
        <v>10</v>
      </c>
      <c r="B9" s="4">
        <v>1674.2</v>
      </c>
      <c r="C9" s="4">
        <v>66</v>
      </c>
      <c r="D9" s="4">
        <v>35</v>
      </c>
      <c r="E9" s="4">
        <v>31</v>
      </c>
      <c r="G9" s="1"/>
      <c r="I9" s="4" t="s">
        <v>10</v>
      </c>
      <c r="J9" s="4">
        <v>173.89</v>
      </c>
      <c r="K9" s="4">
        <v>72</v>
      </c>
      <c r="L9" s="4">
        <v>33</v>
      </c>
      <c r="M9" s="4">
        <v>39</v>
      </c>
    </row>
    <row r="10" spans="1:13" x14ac:dyDescent="0.3">
      <c r="A10" s="4" t="s">
        <v>11</v>
      </c>
      <c r="B10" s="4">
        <v>2831.37</v>
      </c>
      <c r="C10" s="4">
        <v>69</v>
      </c>
      <c r="D10" s="4">
        <v>35</v>
      </c>
      <c r="E10" s="4">
        <v>34</v>
      </c>
      <c r="G10" s="1"/>
      <c r="I10" s="4" t="s">
        <v>11</v>
      </c>
      <c r="J10" s="4">
        <v>37.700000000000003</v>
      </c>
      <c r="K10" s="4">
        <v>76</v>
      </c>
      <c r="L10" s="4">
        <v>31</v>
      </c>
      <c r="M10" s="4">
        <v>45</v>
      </c>
    </row>
    <row r="11" spans="1:13" x14ac:dyDescent="0.3">
      <c r="A11" s="4" t="s">
        <v>12</v>
      </c>
      <c r="B11" s="4">
        <v>-457.09</v>
      </c>
      <c r="C11" s="4">
        <v>72</v>
      </c>
      <c r="D11" s="4">
        <v>32</v>
      </c>
      <c r="E11" s="4">
        <v>40</v>
      </c>
      <c r="G11" s="1"/>
      <c r="I11" s="4" t="s">
        <v>12</v>
      </c>
      <c r="J11" s="4">
        <v>-1419.65</v>
      </c>
      <c r="K11" s="4">
        <v>74</v>
      </c>
      <c r="L11" s="4">
        <v>28</v>
      </c>
      <c r="M11" s="4">
        <v>46</v>
      </c>
    </row>
    <row r="12" spans="1:13" x14ac:dyDescent="0.3">
      <c r="A12" s="4" t="s">
        <v>13</v>
      </c>
      <c r="B12" s="4">
        <v>1391.11</v>
      </c>
      <c r="C12" s="4">
        <v>69</v>
      </c>
      <c r="D12" s="4">
        <v>28</v>
      </c>
      <c r="E12" s="4">
        <v>41</v>
      </c>
      <c r="G12" s="1"/>
      <c r="I12" s="4" t="s">
        <v>13</v>
      </c>
      <c r="J12" s="4">
        <v>895.47</v>
      </c>
      <c r="K12" s="4">
        <v>72</v>
      </c>
      <c r="L12" s="4">
        <v>36</v>
      </c>
      <c r="M12" s="4">
        <v>36</v>
      </c>
    </row>
    <row r="13" spans="1:13" x14ac:dyDescent="0.3">
      <c r="A13" s="4" t="s">
        <v>14</v>
      </c>
      <c r="B13" s="4">
        <v>248.15</v>
      </c>
      <c r="C13" s="4">
        <v>75</v>
      </c>
      <c r="D13" s="4">
        <v>30</v>
      </c>
      <c r="E13" s="4">
        <v>45</v>
      </c>
      <c r="G13" s="1"/>
      <c r="I13" s="4" t="s">
        <v>14</v>
      </c>
      <c r="J13" s="4">
        <v>4462.8900000000003</v>
      </c>
      <c r="K13" s="4">
        <v>70</v>
      </c>
      <c r="L13" s="4">
        <v>36</v>
      </c>
      <c r="M13" s="4">
        <v>34</v>
      </c>
    </row>
    <row r="14" spans="1:13" x14ac:dyDescent="0.3">
      <c r="A14" s="4" t="s">
        <v>15</v>
      </c>
      <c r="B14" s="4">
        <v>-477.69</v>
      </c>
      <c r="C14" s="4">
        <v>71</v>
      </c>
      <c r="D14" s="4">
        <v>27</v>
      </c>
      <c r="E14" s="4">
        <v>44</v>
      </c>
      <c r="G14" s="1"/>
      <c r="I14" s="4" t="s">
        <v>15</v>
      </c>
      <c r="J14" s="4">
        <v>4566.95</v>
      </c>
      <c r="K14" s="4">
        <v>69</v>
      </c>
      <c r="L14" s="4">
        <v>37</v>
      </c>
      <c r="M14" s="4">
        <v>32</v>
      </c>
    </row>
    <row r="15" spans="1:13" x14ac:dyDescent="0.3">
      <c r="A15" s="4" t="s">
        <v>16</v>
      </c>
      <c r="B15" s="4">
        <v>2913.53</v>
      </c>
      <c r="C15" s="4">
        <v>68</v>
      </c>
      <c r="D15" s="4">
        <v>31</v>
      </c>
      <c r="E15" s="4">
        <v>37</v>
      </c>
      <c r="G15" s="1"/>
      <c r="I15" s="4" t="s">
        <v>16</v>
      </c>
      <c r="J15" s="4">
        <v>2839.18</v>
      </c>
      <c r="K15" s="4">
        <v>66</v>
      </c>
      <c r="L15" s="4">
        <v>34</v>
      </c>
      <c r="M15" s="4">
        <v>32</v>
      </c>
    </row>
    <row r="16" spans="1:13" x14ac:dyDescent="0.3">
      <c r="A16" s="4" t="s">
        <v>17</v>
      </c>
      <c r="B16" s="4">
        <v>-1293.08</v>
      </c>
      <c r="C16" s="4">
        <v>81</v>
      </c>
      <c r="D16" s="4">
        <v>26</v>
      </c>
      <c r="E16" s="4">
        <v>55</v>
      </c>
      <c r="G16" s="1"/>
      <c r="I16" s="4" t="s">
        <v>17</v>
      </c>
      <c r="J16" s="4">
        <v>-2058.71</v>
      </c>
      <c r="K16" s="4">
        <v>80</v>
      </c>
      <c r="L16" s="4">
        <v>28</v>
      </c>
      <c r="M16" s="4">
        <v>52</v>
      </c>
    </row>
    <row r="17" spans="1:13" x14ac:dyDescent="0.3">
      <c r="A17" s="24" t="s">
        <v>23</v>
      </c>
      <c r="B17" s="24"/>
      <c r="C17" s="7">
        <f>SUM(C7:C16)</f>
        <v>697</v>
      </c>
      <c r="D17" s="7">
        <f>SUM(D7:D16)</f>
        <v>307</v>
      </c>
      <c r="E17" s="7">
        <f>SUM(E7:E16)</f>
        <v>390</v>
      </c>
      <c r="G17" s="1"/>
      <c r="I17" s="24" t="s">
        <v>23</v>
      </c>
      <c r="J17" s="24"/>
      <c r="K17" s="7">
        <f>SUM(K7:K16)</f>
        <v>702</v>
      </c>
      <c r="L17" s="7">
        <f>SUM(L7:L16)</f>
        <v>324</v>
      </c>
      <c r="M17" s="7">
        <f>SUM(M7:M16)</f>
        <v>378</v>
      </c>
    </row>
    <row r="18" spans="1:13" x14ac:dyDescent="0.3">
      <c r="G18" s="1"/>
    </row>
    <row r="19" spans="1:13" x14ac:dyDescent="0.3">
      <c r="A19" s="26" t="s">
        <v>18</v>
      </c>
      <c r="B19" s="26"/>
      <c r="C19" s="26"/>
      <c r="D19" s="26"/>
      <c r="E19" s="26"/>
      <c r="G19" s="1"/>
      <c r="I19" s="26" t="s">
        <v>18</v>
      </c>
      <c r="J19" s="26"/>
      <c r="K19" s="26"/>
      <c r="L19" s="26"/>
      <c r="M19" s="26"/>
    </row>
    <row r="20" spans="1:13" x14ac:dyDescent="0.3">
      <c r="A20" s="3" t="s">
        <v>3</v>
      </c>
      <c r="B20" s="3" t="s">
        <v>4</v>
      </c>
      <c r="C20" s="3" t="s">
        <v>5</v>
      </c>
      <c r="D20" s="3" t="s">
        <v>6</v>
      </c>
      <c r="E20" s="3" t="s">
        <v>7</v>
      </c>
      <c r="G20" s="1"/>
      <c r="I20" s="3" t="s">
        <v>3</v>
      </c>
      <c r="J20" s="3" t="s">
        <v>4</v>
      </c>
      <c r="K20" s="3" t="s">
        <v>5</v>
      </c>
      <c r="L20" s="3" t="s">
        <v>6</v>
      </c>
      <c r="M20" s="3" t="s">
        <v>7</v>
      </c>
    </row>
    <row r="21" spans="1:13" x14ac:dyDescent="0.3">
      <c r="A21" s="4" t="s">
        <v>8</v>
      </c>
      <c r="B21" s="4">
        <v>-1163.6400000000001</v>
      </c>
      <c r="C21" s="4">
        <v>70</v>
      </c>
      <c r="D21" s="4">
        <v>32</v>
      </c>
      <c r="E21" s="4">
        <v>38</v>
      </c>
      <c r="G21" s="1"/>
      <c r="I21" s="4" t="s">
        <v>8</v>
      </c>
      <c r="J21" s="4">
        <v>-761.89</v>
      </c>
      <c r="K21" s="4">
        <v>69</v>
      </c>
      <c r="L21" s="4">
        <v>29</v>
      </c>
      <c r="M21" s="4">
        <v>40</v>
      </c>
    </row>
    <row r="22" spans="1:13" x14ac:dyDescent="0.3">
      <c r="A22" s="4" t="s">
        <v>9</v>
      </c>
      <c r="B22" s="4">
        <v>-873.92</v>
      </c>
      <c r="C22" s="4">
        <v>62</v>
      </c>
      <c r="D22" s="4">
        <v>23</v>
      </c>
      <c r="E22" s="4">
        <v>39</v>
      </c>
      <c r="G22" s="1"/>
      <c r="I22" s="4" t="s">
        <v>9</v>
      </c>
      <c r="J22" s="4">
        <v>-376.34</v>
      </c>
      <c r="K22" s="4">
        <v>60</v>
      </c>
      <c r="L22" s="4">
        <v>31</v>
      </c>
      <c r="M22" s="4">
        <v>29</v>
      </c>
    </row>
    <row r="23" spans="1:13" x14ac:dyDescent="0.3">
      <c r="A23" s="4" t="s">
        <v>10</v>
      </c>
      <c r="B23" s="4">
        <v>74.75</v>
      </c>
      <c r="C23" s="4">
        <v>72</v>
      </c>
      <c r="D23" s="4">
        <v>32</v>
      </c>
      <c r="E23" s="4">
        <v>40</v>
      </c>
      <c r="G23" s="1"/>
      <c r="I23" s="4" t="s">
        <v>10</v>
      </c>
      <c r="J23" s="4">
        <v>1549.34</v>
      </c>
      <c r="K23" s="4">
        <v>64</v>
      </c>
      <c r="L23" s="4">
        <v>30</v>
      </c>
      <c r="M23" s="4">
        <v>34</v>
      </c>
    </row>
    <row r="24" spans="1:13" x14ac:dyDescent="0.3">
      <c r="A24" s="4" t="s">
        <v>11</v>
      </c>
      <c r="B24" s="4">
        <v>-948.11</v>
      </c>
      <c r="C24" s="4">
        <v>74</v>
      </c>
      <c r="D24" s="4">
        <v>32</v>
      </c>
      <c r="E24" s="4">
        <v>42</v>
      </c>
      <c r="G24" s="1"/>
      <c r="I24" s="4" t="s">
        <v>11</v>
      </c>
      <c r="J24" s="4">
        <v>-943.02</v>
      </c>
      <c r="K24" s="4">
        <v>72</v>
      </c>
      <c r="L24" s="4">
        <v>30</v>
      </c>
      <c r="M24" s="4">
        <v>42</v>
      </c>
    </row>
    <row r="25" spans="1:13" x14ac:dyDescent="0.3">
      <c r="A25" s="4" t="s">
        <v>12</v>
      </c>
      <c r="B25" s="4">
        <v>319.95</v>
      </c>
      <c r="C25" s="4">
        <v>84</v>
      </c>
      <c r="D25" s="4">
        <v>33</v>
      </c>
      <c r="E25" s="4">
        <v>51</v>
      </c>
      <c r="G25" s="1"/>
      <c r="I25" s="4" t="s">
        <v>12</v>
      </c>
      <c r="J25" s="4">
        <v>254.14</v>
      </c>
      <c r="K25" s="4">
        <v>78</v>
      </c>
      <c r="L25" s="4">
        <v>33</v>
      </c>
      <c r="M25" s="4">
        <v>45</v>
      </c>
    </row>
    <row r="26" spans="1:13" x14ac:dyDescent="0.3">
      <c r="A26" s="4" t="s">
        <v>13</v>
      </c>
      <c r="B26" s="4">
        <v>-2930.74</v>
      </c>
      <c r="C26" s="4">
        <v>79</v>
      </c>
      <c r="D26" s="4">
        <v>28</v>
      </c>
      <c r="E26" s="4">
        <v>51</v>
      </c>
      <c r="G26" s="1"/>
      <c r="I26" s="4" t="s">
        <v>13</v>
      </c>
      <c r="J26" s="4">
        <v>2112.81</v>
      </c>
      <c r="K26" s="4">
        <v>76</v>
      </c>
      <c r="L26" s="4">
        <v>43</v>
      </c>
      <c r="M26" s="4">
        <v>33</v>
      </c>
    </row>
    <row r="27" spans="1:13" x14ac:dyDescent="0.3">
      <c r="A27" s="4" t="s">
        <v>14</v>
      </c>
      <c r="B27" s="4">
        <v>256.3</v>
      </c>
      <c r="C27" s="4">
        <v>82</v>
      </c>
      <c r="D27" s="4">
        <v>33</v>
      </c>
      <c r="E27" s="4">
        <v>49</v>
      </c>
      <c r="G27" s="1"/>
      <c r="I27" s="4" t="s">
        <v>14</v>
      </c>
      <c r="J27" s="4">
        <v>2055.2399999999998</v>
      </c>
      <c r="K27" s="4">
        <v>83</v>
      </c>
      <c r="L27" s="4">
        <v>38</v>
      </c>
      <c r="M27" s="4">
        <v>45</v>
      </c>
    </row>
    <row r="28" spans="1:13" x14ac:dyDescent="0.3">
      <c r="A28" s="4" t="s">
        <v>15</v>
      </c>
      <c r="B28" s="4">
        <v>-3491.54</v>
      </c>
      <c r="C28" s="4">
        <v>82</v>
      </c>
      <c r="D28" s="4">
        <v>22</v>
      </c>
      <c r="E28" s="4">
        <v>60</v>
      </c>
      <c r="G28" s="1"/>
      <c r="I28" s="4" t="s">
        <v>15</v>
      </c>
      <c r="J28" s="4">
        <v>5503.63</v>
      </c>
      <c r="K28" s="4">
        <v>80</v>
      </c>
      <c r="L28" s="4">
        <v>44</v>
      </c>
      <c r="M28" s="4">
        <v>36</v>
      </c>
    </row>
    <row r="29" spans="1:13" x14ac:dyDescent="0.3">
      <c r="A29" s="4" t="s">
        <v>16</v>
      </c>
      <c r="B29" s="4">
        <v>-3776.1</v>
      </c>
      <c r="C29" s="4">
        <v>88</v>
      </c>
      <c r="D29" s="4">
        <v>24</v>
      </c>
      <c r="E29" s="4">
        <v>64</v>
      </c>
      <c r="G29" s="1"/>
      <c r="I29" s="4" t="s">
        <v>16</v>
      </c>
      <c r="J29" s="4">
        <v>3283.08</v>
      </c>
      <c r="K29" s="4">
        <v>84</v>
      </c>
      <c r="L29" s="4">
        <v>48</v>
      </c>
      <c r="M29" s="4">
        <v>36</v>
      </c>
    </row>
    <row r="30" spans="1:13" x14ac:dyDescent="0.3">
      <c r="A30" s="4" t="s">
        <v>17</v>
      </c>
      <c r="B30" s="4">
        <v>-1310.91</v>
      </c>
      <c r="C30" s="4">
        <v>82</v>
      </c>
      <c r="D30" s="4">
        <v>30</v>
      </c>
      <c r="E30" s="4">
        <v>52</v>
      </c>
      <c r="G30" s="1"/>
      <c r="I30" s="4" t="s">
        <v>17</v>
      </c>
      <c r="J30" s="4">
        <v>3313.26</v>
      </c>
      <c r="K30" s="4">
        <v>76</v>
      </c>
      <c r="L30" s="4">
        <v>37</v>
      </c>
      <c r="M30" s="4">
        <v>39</v>
      </c>
    </row>
    <row r="31" spans="1:13" x14ac:dyDescent="0.3">
      <c r="A31" s="24" t="s">
        <v>23</v>
      </c>
      <c r="B31" s="24"/>
      <c r="C31" s="7">
        <f>SUM(C21:C30)</f>
        <v>775</v>
      </c>
      <c r="D31" s="7">
        <f>SUM(D21:D30)</f>
        <v>289</v>
      </c>
      <c r="E31" s="7">
        <f>SUM(E21:E30)</f>
        <v>486</v>
      </c>
      <c r="G31" s="1"/>
      <c r="I31" s="24" t="s">
        <v>23</v>
      </c>
      <c r="J31" s="24"/>
      <c r="K31" s="7">
        <f>SUM(K21:K30)</f>
        <v>742</v>
      </c>
      <c r="L31" s="7">
        <f>SUM(L21:L30)</f>
        <v>363</v>
      </c>
      <c r="M31" s="7">
        <f>SUM(M21:M30)</f>
        <v>379</v>
      </c>
    </row>
    <row r="32" spans="1:13" x14ac:dyDescent="0.3">
      <c r="G32" s="1"/>
    </row>
    <row r="33" spans="1:13" x14ac:dyDescent="0.3">
      <c r="A33" s="26" t="s">
        <v>19</v>
      </c>
      <c r="B33" s="26"/>
      <c r="C33" s="26"/>
      <c r="D33" s="26"/>
      <c r="E33" s="26"/>
      <c r="G33" s="1"/>
      <c r="I33" s="27" t="s">
        <v>19</v>
      </c>
      <c r="J33" s="27"/>
      <c r="K33" s="27"/>
      <c r="L33" s="27"/>
      <c r="M33" s="27"/>
    </row>
    <row r="34" spans="1:13" x14ac:dyDescent="0.3">
      <c r="A34" s="3" t="s">
        <v>3</v>
      </c>
      <c r="B34" s="3" t="s">
        <v>4</v>
      </c>
      <c r="C34" s="3" t="s">
        <v>5</v>
      </c>
      <c r="D34" s="3" t="s">
        <v>6</v>
      </c>
      <c r="E34" s="3" t="s">
        <v>7</v>
      </c>
      <c r="G34" s="1"/>
      <c r="I34" s="3" t="s">
        <v>3</v>
      </c>
      <c r="J34" s="3" t="s">
        <v>4</v>
      </c>
      <c r="K34" s="3" t="s">
        <v>5</v>
      </c>
      <c r="L34" s="3" t="s">
        <v>6</v>
      </c>
      <c r="M34" s="3" t="s">
        <v>7</v>
      </c>
    </row>
    <row r="35" spans="1:13" x14ac:dyDescent="0.3">
      <c r="A35" s="4" t="s">
        <v>8</v>
      </c>
      <c r="B35" s="4">
        <v>383.3</v>
      </c>
      <c r="C35" s="4">
        <v>57</v>
      </c>
      <c r="D35" s="4">
        <v>28</v>
      </c>
      <c r="E35" s="4">
        <v>29</v>
      </c>
      <c r="G35" s="1"/>
      <c r="I35" s="4" t="s">
        <v>8</v>
      </c>
      <c r="J35" s="4">
        <v>822.84</v>
      </c>
      <c r="K35" s="4">
        <v>61</v>
      </c>
      <c r="L35" s="4">
        <v>31</v>
      </c>
      <c r="M35" s="4">
        <v>30</v>
      </c>
    </row>
    <row r="36" spans="1:13" x14ac:dyDescent="0.3">
      <c r="A36" s="4" t="s">
        <v>9</v>
      </c>
      <c r="B36" s="4">
        <v>-1034.96</v>
      </c>
      <c r="C36" s="4">
        <v>63</v>
      </c>
      <c r="D36" s="4">
        <v>25</v>
      </c>
      <c r="E36" s="4">
        <v>38</v>
      </c>
      <c r="G36" s="1"/>
      <c r="I36" s="4" t="s">
        <v>9</v>
      </c>
      <c r="J36" s="4">
        <v>1013.97</v>
      </c>
      <c r="K36" s="4">
        <v>55</v>
      </c>
      <c r="L36" s="4">
        <v>28</v>
      </c>
      <c r="M36" s="4">
        <v>27</v>
      </c>
    </row>
    <row r="37" spans="1:13" x14ac:dyDescent="0.3">
      <c r="A37" s="4" t="s">
        <v>10</v>
      </c>
      <c r="B37" s="4">
        <v>-1495.69</v>
      </c>
      <c r="C37" s="4">
        <v>71</v>
      </c>
      <c r="D37" s="4">
        <v>32</v>
      </c>
      <c r="E37" s="4">
        <v>39</v>
      </c>
      <c r="G37" s="1"/>
      <c r="I37" s="4" t="s">
        <v>10</v>
      </c>
      <c r="J37" s="4">
        <v>1564.69</v>
      </c>
      <c r="K37" s="4">
        <v>64</v>
      </c>
      <c r="L37" s="4">
        <v>31</v>
      </c>
      <c r="M37" s="4">
        <v>33</v>
      </c>
    </row>
    <row r="38" spans="1:13" x14ac:dyDescent="0.3">
      <c r="A38" s="4" t="s">
        <v>11</v>
      </c>
      <c r="B38" s="4">
        <v>553.21</v>
      </c>
      <c r="C38" s="4">
        <v>68</v>
      </c>
      <c r="D38" s="4">
        <v>31</v>
      </c>
      <c r="E38" s="4">
        <v>37</v>
      </c>
      <c r="G38" s="1"/>
      <c r="I38" s="4" t="s">
        <v>11</v>
      </c>
      <c r="J38" s="4">
        <v>577.5</v>
      </c>
      <c r="K38" s="4">
        <v>66</v>
      </c>
      <c r="L38" s="4">
        <v>32</v>
      </c>
      <c r="M38" s="4">
        <v>34</v>
      </c>
    </row>
    <row r="39" spans="1:13" x14ac:dyDescent="0.3">
      <c r="A39" s="4" t="s">
        <v>12</v>
      </c>
      <c r="B39" s="4">
        <v>-575.29</v>
      </c>
      <c r="C39" s="4">
        <v>74</v>
      </c>
      <c r="D39" s="4">
        <v>29</v>
      </c>
      <c r="E39" s="4">
        <v>45</v>
      </c>
      <c r="G39" s="1"/>
      <c r="I39" s="4" t="s">
        <v>12</v>
      </c>
      <c r="J39" s="4">
        <v>1153.3900000000001</v>
      </c>
      <c r="K39" s="4">
        <v>67</v>
      </c>
      <c r="L39" s="4">
        <v>32</v>
      </c>
      <c r="M39" s="4">
        <v>35</v>
      </c>
    </row>
    <row r="40" spans="1:13" x14ac:dyDescent="0.3">
      <c r="A40" s="4" t="s">
        <v>13</v>
      </c>
      <c r="B40" s="4">
        <v>-143.11000000000001</v>
      </c>
      <c r="C40" s="4">
        <v>69</v>
      </c>
      <c r="D40" s="4">
        <v>27</v>
      </c>
      <c r="E40" s="4">
        <v>42</v>
      </c>
      <c r="G40" s="1"/>
      <c r="I40" s="4" t="s">
        <v>13</v>
      </c>
      <c r="J40" s="4">
        <v>1626.1</v>
      </c>
      <c r="K40" s="4">
        <v>63</v>
      </c>
      <c r="L40" s="4">
        <v>39</v>
      </c>
      <c r="M40" s="4">
        <v>24</v>
      </c>
    </row>
    <row r="41" spans="1:13" x14ac:dyDescent="0.3">
      <c r="A41" s="4" t="s">
        <v>14</v>
      </c>
      <c r="B41" s="4">
        <v>-1161.3900000000001</v>
      </c>
      <c r="C41" s="4">
        <v>76</v>
      </c>
      <c r="D41" s="4">
        <v>29</v>
      </c>
      <c r="E41" s="4">
        <v>47</v>
      </c>
      <c r="G41" s="1"/>
      <c r="I41" s="4" t="s">
        <v>14</v>
      </c>
      <c r="J41" s="4">
        <v>2301.14</v>
      </c>
      <c r="K41" s="4">
        <v>72</v>
      </c>
      <c r="L41" s="4">
        <v>35</v>
      </c>
      <c r="M41" s="4">
        <v>37</v>
      </c>
    </row>
    <row r="42" spans="1:13" x14ac:dyDescent="0.3">
      <c r="A42" s="4" t="s">
        <v>15</v>
      </c>
      <c r="B42" s="4">
        <v>-1428.14</v>
      </c>
      <c r="C42" s="4">
        <v>83</v>
      </c>
      <c r="D42" s="4">
        <v>29</v>
      </c>
      <c r="E42" s="4">
        <v>54</v>
      </c>
      <c r="G42" s="1"/>
      <c r="I42" s="4" t="s">
        <v>15</v>
      </c>
      <c r="J42" s="4">
        <v>3887.44</v>
      </c>
      <c r="K42" s="4">
        <v>71</v>
      </c>
      <c r="L42" s="4">
        <v>38</v>
      </c>
      <c r="M42" s="4">
        <v>33</v>
      </c>
    </row>
    <row r="43" spans="1:13" x14ac:dyDescent="0.3">
      <c r="A43" s="4" t="s">
        <v>16</v>
      </c>
      <c r="B43" s="4">
        <v>-2230.6999999999998</v>
      </c>
      <c r="C43" s="4">
        <v>66</v>
      </c>
      <c r="D43" s="4">
        <v>21</v>
      </c>
      <c r="E43" s="4">
        <v>45</v>
      </c>
      <c r="G43" s="1"/>
      <c r="I43" s="4" t="s">
        <v>16</v>
      </c>
      <c r="J43" s="4">
        <v>4390.43</v>
      </c>
      <c r="K43" s="4">
        <v>63</v>
      </c>
      <c r="L43" s="4">
        <v>39</v>
      </c>
      <c r="M43" s="4">
        <v>24</v>
      </c>
    </row>
    <row r="44" spans="1:13" x14ac:dyDescent="0.3">
      <c r="A44" s="4" t="s">
        <v>17</v>
      </c>
      <c r="B44" s="4">
        <v>-634.71</v>
      </c>
      <c r="C44" s="4">
        <v>70</v>
      </c>
      <c r="D44" s="4">
        <v>30</v>
      </c>
      <c r="E44" s="4">
        <v>40</v>
      </c>
      <c r="G44" s="1"/>
      <c r="I44" s="4" t="s">
        <v>17</v>
      </c>
      <c r="J44" s="4">
        <v>-1722.73</v>
      </c>
      <c r="K44" s="4">
        <v>79</v>
      </c>
      <c r="L44" s="4">
        <v>26</v>
      </c>
      <c r="M44" s="4">
        <v>53</v>
      </c>
    </row>
    <row r="45" spans="1:13" x14ac:dyDescent="0.3">
      <c r="A45" s="24" t="s">
        <v>23</v>
      </c>
      <c r="B45" s="24"/>
      <c r="C45" s="7">
        <f>SUM(C35:C44)</f>
        <v>697</v>
      </c>
      <c r="D45" s="7">
        <f>SUM(D35:D44)</f>
        <v>281</v>
      </c>
      <c r="E45" s="7">
        <f>SUM(E35:E44)</f>
        <v>416</v>
      </c>
      <c r="G45" s="1"/>
      <c r="I45" s="24" t="s">
        <v>23</v>
      </c>
      <c r="J45" s="24"/>
      <c r="K45" s="7">
        <f>SUM(K35:K44)</f>
        <v>661</v>
      </c>
      <c r="L45" s="7">
        <f>SUM(L35:L44)</f>
        <v>331</v>
      </c>
      <c r="M45" s="7">
        <f>SUM(M35:M44)</f>
        <v>330</v>
      </c>
    </row>
    <row r="46" spans="1:13" x14ac:dyDescent="0.3">
      <c r="G46" s="1"/>
    </row>
    <row r="47" spans="1:13" x14ac:dyDescent="0.3">
      <c r="A47" s="26" t="s">
        <v>20</v>
      </c>
      <c r="B47" s="26"/>
      <c r="C47" s="26"/>
      <c r="D47" s="26"/>
      <c r="E47" s="26"/>
      <c r="G47" s="1"/>
      <c r="I47" s="26" t="s">
        <v>20</v>
      </c>
      <c r="J47" s="26"/>
      <c r="K47" s="26"/>
      <c r="L47" s="26"/>
      <c r="M47" s="26"/>
    </row>
    <row r="48" spans="1:13" x14ac:dyDescent="0.3">
      <c r="A48" s="3" t="s">
        <v>3</v>
      </c>
      <c r="B48" s="3" t="s">
        <v>4</v>
      </c>
      <c r="C48" s="3" t="s">
        <v>5</v>
      </c>
      <c r="D48" s="3" t="s">
        <v>6</v>
      </c>
      <c r="E48" s="3" t="s">
        <v>7</v>
      </c>
      <c r="G48" s="1"/>
      <c r="I48" s="3" t="s">
        <v>3</v>
      </c>
      <c r="J48" s="3" t="s">
        <v>4</v>
      </c>
      <c r="K48" s="3" t="s">
        <v>5</v>
      </c>
      <c r="L48" s="3" t="s">
        <v>6</v>
      </c>
      <c r="M48" s="3" t="s">
        <v>7</v>
      </c>
    </row>
    <row r="49" spans="1:13" x14ac:dyDescent="0.3">
      <c r="A49" s="4" t="s">
        <v>8</v>
      </c>
      <c r="B49" s="4">
        <v>1558.65</v>
      </c>
      <c r="C49" s="4">
        <v>65</v>
      </c>
      <c r="D49" s="4">
        <v>32</v>
      </c>
      <c r="E49" s="4">
        <v>33</v>
      </c>
      <c r="G49" s="1"/>
      <c r="I49" s="4" t="s">
        <v>8</v>
      </c>
      <c r="J49" s="4">
        <v>-356.9</v>
      </c>
      <c r="K49" s="4">
        <v>66</v>
      </c>
      <c r="L49" s="4">
        <v>31</v>
      </c>
      <c r="M49" s="4">
        <v>35</v>
      </c>
    </row>
    <row r="50" spans="1:13" x14ac:dyDescent="0.3">
      <c r="A50" s="4" t="s">
        <v>9</v>
      </c>
      <c r="B50" s="4">
        <v>1127.1300000000001</v>
      </c>
      <c r="C50" s="4">
        <v>66</v>
      </c>
      <c r="D50" s="4">
        <v>34</v>
      </c>
      <c r="E50" s="4">
        <v>32</v>
      </c>
      <c r="G50" s="1"/>
      <c r="I50" s="4" t="s">
        <v>9</v>
      </c>
      <c r="J50" s="4">
        <v>141.33000000000001</v>
      </c>
      <c r="K50" s="4">
        <v>72</v>
      </c>
      <c r="L50" s="4">
        <v>27</v>
      </c>
      <c r="M50" s="4">
        <v>45</v>
      </c>
    </row>
    <row r="51" spans="1:13" x14ac:dyDescent="0.3">
      <c r="A51" s="4" t="s">
        <v>10</v>
      </c>
      <c r="B51" s="4">
        <v>-1026.8399999999999</v>
      </c>
      <c r="C51" s="4">
        <v>74</v>
      </c>
      <c r="D51" s="4">
        <v>32</v>
      </c>
      <c r="E51" s="4">
        <v>42</v>
      </c>
      <c r="G51" s="1"/>
      <c r="I51" s="4" t="s">
        <v>10</v>
      </c>
      <c r="J51" s="4">
        <v>-1820</v>
      </c>
      <c r="K51" s="4">
        <v>80</v>
      </c>
      <c r="L51" s="4">
        <v>35</v>
      </c>
      <c r="M51" s="4">
        <v>45</v>
      </c>
    </row>
    <row r="52" spans="1:13" x14ac:dyDescent="0.3">
      <c r="A52" s="4" t="s">
        <v>11</v>
      </c>
      <c r="B52" s="4">
        <v>1977.67</v>
      </c>
      <c r="C52" s="4">
        <v>74</v>
      </c>
      <c r="D52" s="4">
        <v>35</v>
      </c>
      <c r="E52" s="4">
        <v>39</v>
      </c>
      <c r="G52" s="1"/>
      <c r="I52" s="4" t="s">
        <v>11</v>
      </c>
      <c r="J52" s="4">
        <v>1583.56</v>
      </c>
      <c r="K52" s="4">
        <v>71</v>
      </c>
      <c r="L52" s="4">
        <v>33</v>
      </c>
      <c r="M52" s="4">
        <v>38</v>
      </c>
    </row>
    <row r="53" spans="1:13" x14ac:dyDescent="0.3">
      <c r="A53" s="4" t="s">
        <v>12</v>
      </c>
      <c r="B53" s="4">
        <v>3630.8</v>
      </c>
      <c r="C53" s="4">
        <v>62</v>
      </c>
      <c r="D53" s="4">
        <v>33</v>
      </c>
      <c r="E53" s="4">
        <v>29</v>
      </c>
      <c r="G53" s="1"/>
      <c r="I53" s="4" t="s">
        <v>12</v>
      </c>
      <c r="J53" s="4">
        <v>2210.39</v>
      </c>
      <c r="K53" s="4">
        <v>59</v>
      </c>
      <c r="L53" s="4">
        <v>33</v>
      </c>
      <c r="M53" s="4">
        <v>26</v>
      </c>
    </row>
    <row r="54" spans="1:13" x14ac:dyDescent="0.3">
      <c r="A54" s="4" t="s">
        <v>13</v>
      </c>
      <c r="B54" s="4">
        <v>733.91</v>
      </c>
      <c r="C54" s="4">
        <v>66</v>
      </c>
      <c r="D54" s="4">
        <v>29</v>
      </c>
      <c r="E54" s="4">
        <v>37</v>
      </c>
      <c r="G54" s="1"/>
      <c r="I54" s="4" t="s">
        <v>13</v>
      </c>
      <c r="J54" s="4">
        <v>998.25</v>
      </c>
      <c r="K54" s="4">
        <v>71</v>
      </c>
      <c r="L54" s="4">
        <v>32</v>
      </c>
      <c r="M54" s="4">
        <v>39</v>
      </c>
    </row>
    <row r="55" spans="1:13" x14ac:dyDescent="0.3">
      <c r="A55" s="4" t="s">
        <v>14</v>
      </c>
      <c r="B55" s="4">
        <v>1532.45</v>
      </c>
      <c r="C55" s="4">
        <v>68</v>
      </c>
      <c r="D55" s="4">
        <v>35</v>
      </c>
      <c r="E55" s="4">
        <v>33</v>
      </c>
      <c r="G55" s="1"/>
      <c r="I55" s="4" t="s">
        <v>14</v>
      </c>
      <c r="J55" s="4">
        <v>1171.99</v>
      </c>
      <c r="K55" s="4">
        <v>70</v>
      </c>
      <c r="L55" s="4">
        <v>31</v>
      </c>
      <c r="M55" s="4">
        <v>39</v>
      </c>
    </row>
    <row r="56" spans="1:13" x14ac:dyDescent="0.3">
      <c r="A56" s="4" t="s">
        <v>15</v>
      </c>
      <c r="B56" s="4">
        <v>-1330.07</v>
      </c>
      <c r="C56" s="4">
        <v>74</v>
      </c>
      <c r="D56" s="4">
        <v>28</v>
      </c>
      <c r="E56" s="4">
        <v>46</v>
      </c>
      <c r="G56" s="1"/>
      <c r="I56" s="4" t="s">
        <v>15</v>
      </c>
      <c r="J56" s="4">
        <v>-1439.08</v>
      </c>
      <c r="K56" s="4">
        <v>70</v>
      </c>
      <c r="L56" s="4">
        <v>22</v>
      </c>
      <c r="M56" s="4">
        <v>48</v>
      </c>
    </row>
    <row r="57" spans="1:13" x14ac:dyDescent="0.3">
      <c r="A57" s="4" t="s">
        <v>16</v>
      </c>
      <c r="B57" s="4">
        <v>-2567.85</v>
      </c>
      <c r="C57" s="4">
        <v>76</v>
      </c>
      <c r="D57" s="4">
        <v>28</v>
      </c>
      <c r="E57" s="4">
        <v>48</v>
      </c>
      <c r="G57" s="1"/>
      <c r="I57" s="4" t="s">
        <v>16</v>
      </c>
      <c r="J57" s="4">
        <v>1781.59</v>
      </c>
      <c r="K57" s="4">
        <v>70</v>
      </c>
      <c r="L57" s="4">
        <v>31</v>
      </c>
      <c r="M57" s="4">
        <v>39</v>
      </c>
    </row>
    <row r="58" spans="1:13" x14ac:dyDescent="0.3">
      <c r="A58" s="4" t="s">
        <v>17</v>
      </c>
      <c r="B58" s="4">
        <v>287.02</v>
      </c>
      <c r="C58" s="4">
        <v>68</v>
      </c>
      <c r="D58" s="4">
        <v>30</v>
      </c>
      <c r="E58" s="4">
        <v>38</v>
      </c>
      <c r="G58" s="1"/>
      <c r="I58" s="4" t="s">
        <v>17</v>
      </c>
      <c r="J58" s="4">
        <v>264.20999999999998</v>
      </c>
      <c r="K58" s="4">
        <v>63</v>
      </c>
      <c r="L58" s="4">
        <v>25</v>
      </c>
      <c r="M58" s="4">
        <v>38</v>
      </c>
    </row>
    <row r="59" spans="1:13" x14ac:dyDescent="0.3">
      <c r="A59" s="24" t="s">
        <v>23</v>
      </c>
      <c r="B59" s="24"/>
      <c r="C59" s="7">
        <f>SUM(C49:C58)</f>
        <v>693</v>
      </c>
      <c r="D59" s="7">
        <f>SUM(D49:D58)</f>
        <v>316</v>
      </c>
      <c r="E59" s="7">
        <f>SUM(E49:E58)</f>
        <v>377</v>
      </c>
      <c r="I59" s="24" t="s">
        <v>23</v>
      </c>
      <c r="J59" s="24"/>
      <c r="K59" s="7">
        <f>SUM(K49:K58)</f>
        <v>692</v>
      </c>
      <c r="L59" s="7">
        <f>SUM(L49:L58)</f>
        <v>300</v>
      </c>
      <c r="M59" s="7">
        <f>SUM(M49:M58)</f>
        <v>392</v>
      </c>
    </row>
    <row r="61" spans="1:13" x14ac:dyDescent="0.3">
      <c r="A61" s="25" t="s">
        <v>22</v>
      </c>
      <c r="B61" s="25"/>
      <c r="C61" s="8">
        <f>C59+C45+C31+C17</f>
        <v>2862</v>
      </c>
      <c r="D61" s="8">
        <f t="shared" ref="D61:E61" si="0">D59+D45+D31+D17</f>
        <v>1193</v>
      </c>
      <c r="E61" s="8">
        <f t="shared" si="0"/>
        <v>1669</v>
      </c>
      <c r="I61" s="25" t="s">
        <v>31</v>
      </c>
      <c r="J61" s="25"/>
      <c r="K61" s="8">
        <f>K59+K45+K31+K17</f>
        <v>2797</v>
      </c>
      <c r="L61" s="8">
        <f t="shared" ref="L61:M61" si="1">L59+L45+L31+L17</f>
        <v>1318</v>
      </c>
      <c r="M61" s="8">
        <f t="shared" si="1"/>
        <v>1479</v>
      </c>
    </row>
    <row r="65" spans="3:10" x14ac:dyDescent="0.3">
      <c r="E65" s="23" t="s">
        <v>35</v>
      </c>
      <c r="F65" s="23"/>
      <c r="I65" s="23" t="s">
        <v>37</v>
      </c>
      <c r="J65" s="23"/>
    </row>
    <row r="66" spans="3:10" x14ac:dyDescent="0.3">
      <c r="C66" s="5"/>
      <c r="E66" s="10" t="s">
        <v>32</v>
      </c>
      <c r="F66" s="10">
        <f>C61+K61</f>
        <v>5659</v>
      </c>
      <c r="I66" s="10" t="s">
        <v>36</v>
      </c>
      <c r="J66" s="11">
        <f>F67/F66</f>
        <v>0.44371797137303409</v>
      </c>
    </row>
    <row r="67" spans="3:10" x14ac:dyDescent="0.3">
      <c r="C67" s="5"/>
      <c r="E67" s="10" t="s">
        <v>33</v>
      </c>
      <c r="F67" s="10">
        <f>D61+L61</f>
        <v>2511</v>
      </c>
      <c r="I67" s="10" t="s">
        <v>34</v>
      </c>
      <c r="J67" s="11">
        <f>F68/F66</f>
        <v>0.55628202862696585</v>
      </c>
    </row>
    <row r="68" spans="3:10" x14ac:dyDescent="0.3">
      <c r="C68" s="6"/>
      <c r="E68" s="10" t="s">
        <v>34</v>
      </c>
      <c r="F68" s="10">
        <f>E61+M61</f>
        <v>3148</v>
      </c>
    </row>
  </sheetData>
  <mergeCells count="23">
    <mergeCell ref="A33:E33"/>
    <mergeCell ref="I33:M33"/>
    <mergeCell ref="A47:E47"/>
    <mergeCell ref="I47:M47"/>
    <mergeCell ref="A1:M1"/>
    <mergeCell ref="A3:E3"/>
    <mergeCell ref="I3:M3"/>
    <mergeCell ref="A5:E5"/>
    <mergeCell ref="I5:M5"/>
    <mergeCell ref="A19:E19"/>
    <mergeCell ref="I19:M19"/>
    <mergeCell ref="A17:B17"/>
    <mergeCell ref="I17:J17"/>
    <mergeCell ref="I31:J31"/>
    <mergeCell ref="A31:B31"/>
    <mergeCell ref="A45:B45"/>
    <mergeCell ref="E65:F65"/>
    <mergeCell ref="I65:J65"/>
    <mergeCell ref="I45:J45"/>
    <mergeCell ref="I59:J59"/>
    <mergeCell ref="A59:B59"/>
    <mergeCell ref="A61:B61"/>
    <mergeCell ref="I61:J6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03623-A072-464E-B4E4-006E1953ACAF}">
  <dimension ref="A1:M68"/>
  <sheetViews>
    <sheetView workbookViewId="0">
      <selection sqref="A1:M1"/>
    </sheetView>
  </sheetViews>
  <sheetFormatPr defaultRowHeight="14.4" x14ac:dyDescent="0.3"/>
  <cols>
    <col min="1" max="1" width="11.77734375" bestFit="1" customWidth="1"/>
    <col min="2" max="2" width="12" bestFit="1" customWidth="1"/>
    <col min="3" max="3" width="20.44140625" bestFit="1" customWidth="1"/>
    <col min="4" max="4" width="14.44140625" bestFit="1" customWidth="1"/>
    <col min="5" max="5" width="15.5546875" bestFit="1" customWidth="1"/>
    <col min="6" max="6" width="5" bestFit="1" customWidth="1"/>
    <col min="7" max="7" width="2.77734375" customWidth="1"/>
    <col min="8" max="8" width="3.109375" customWidth="1"/>
    <col min="9" max="9" width="11.77734375" bestFit="1" customWidth="1"/>
    <col min="10" max="10" width="12" bestFit="1" customWidth="1"/>
    <col min="11" max="11" width="20.44140625" bestFit="1" customWidth="1"/>
    <col min="12" max="12" width="14.44140625" bestFit="1" customWidth="1"/>
    <col min="13" max="13" width="15.5546875" bestFit="1" customWidth="1"/>
  </cols>
  <sheetData>
    <row r="1" spans="1:13" ht="18" x14ac:dyDescent="0.35">
      <c r="A1" s="28" t="s">
        <v>26</v>
      </c>
      <c r="B1" s="28"/>
      <c r="C1" s="28"/>
      <c r="D1" s="28"/>
      <c r="E1" s="28"/>
      <c r="F1" s="28"/>
      <c r="G1" s="28"/>
      <c r="H1" s="28"/>
      <c r="I1" s="28"/>
      <c r="J1" s="28"/>
      <c r="K1" s="28"/>
      <c r="L1" s="28"/>
      <c r="M1" s="28"/>
    </row>
    <row r="3" spans="1:13" ht="15.6" x14ac:dyDescent="0.3">
      <c r="A3" s="29" t="s">
        <v>0</v>
      </c>
      <c r="B3" s="29"/>
      <c r="C3" s="29"/>
      <c r="D3" s="29"/>
      <c r="E3" s="29"/>
      <c r="G3" s="1"/>
      <c r="I3" s="29" t="s">
        <v>1</v>
      </c>
      <c r="J3" s="29"/>
      <c r="K3" s="29"/>
      <c r="L3" s="29"/>
      <c r="M3" s="29"/>
    </row>
    <row r="4" spans="1:13" ht="15.6" x14ac:dyDescent="0.3">
      <c r="A4" s="2"/>
      <c r="B4" s="2"/>
      <c r="C4" s="2"/>
      <c r="D4" s="2"/>
      <c r="E4" s="2"/>
      <c r="G4" s="1"/>
      <c r="I4" s="2"/>
      <c r="J4" s="2"/>
      <c r="K4" s="2"/>
      <c r="L4" s="2"/>
      <c r="M4" s="2"/>
    </row>
    <row r="5" spans="1:13" x14ac:dyDescent="0.3">
      <c r="A5" s="26" t="s">
        <v>2</v>
      </c>
      <c r="B5" s="26"/>
      <c r="C5" s="26"/>
      <c r="D5" s="26"/>
      <c r="E5" s="26"/>
      <c r="G5" s="1"/>
      <c r="I5" s="26" t="s">
        <v>2</v>
      </c>
      <c r="J5" s="26"/>
      <c r="K5" s="26"/>
      <c r="L5" s="26"/>
      <c r="M5" s="26"/>
    </row>
    <row r="6" spans="1:13" x14ac:dyDescent="0.3">
      <c r="A6" s="3" t="s">
        <v>3</v>
      </c>
      <c r="B6" s="3" t="s">
        <v>4</v>
      </c>
      <c r="C6" s="3" t="s">
        <v>5</v>
      </c>
      <c r="D6" s="3" t="s">
        <v>6</v>
      </c>
      <c r="E6" s="3" t="s">
        <v>7</v>
      </c>
      <c r="G6" s="1"/>
      <c r="I6" s="3" t="s">
        <v>3</v>
      </c>
      <c r="J6" s="3" t="s">
        <v>4</v>
      </c>
      <c r="K6" s="3" t="s">
        <v>5</v>
      </c>
      <c r="L6" s="3" t="s">
        <v>6</v>
      </c>
      <c r="M6" s="3" t="s">
        <v>7</v>
      </c>
    </row>
    <row r="7" spans="1:13" x14ac:dyDescent="0.3">
      <c r="A7" s="4" t="s">
        <v>8</v>
      </c>
      <c r="B7" s="4">
        <v>-3134.04</v>
      </c>
      <c r="C7" s="4">
        <v>80</v>
      </c>
      <c r="D7" s="4">
        <v>27</v>
      </c>
      <c r="E7" s="4">
        <v>53</v>
      </c>
      <c r="G7" s="1"/>
      <c r="I7" s="4" t="s">
        <v>8</v>
      </c>
      <c r="J7" s="4">
        <v>530.34</v>
      </c>
      <c r="K7" s="4">
        <v>79</v>
      </c>
      <c r="L7" s="4">
        <v>37</v>
      </c>
      <c r="M7" s="4">
        <v>42</v>
      </c>
    </row>
    <row r="8" spans="1:13" x14ac:dyDescent="0.3">
      <c r="A8" s="4" t="s">
        <v>9</v>
      </c>
      <c r="B8" s="4">
        <v>-1117.93</v>
      </c>
      <c r="C8" s="4">
        <v>66</v>
      </c>
      <c r="D8" s="4">
        <v>29</v>
      </c>
      <c r="E8" s="4">
        <v>37</v>
      </c>
      <c r="G8" s="1"/>
      <c r="I8" s="4" t="s">
        <v>9</v>
      </c>
      <c r="J8" s="4">
        <v>625.4</v>
      </c>
      <c r="K8" s="4">
        <v>78</v>
      </c>
      <c r="L8" s="4">
        <v>37</v>
      </c>
      <c r="M8" s="4">
        <v>41</v>
      </c>
    </row>
    <row r="9" spans="1:13" x14ac:dyDescent="0.3">
      <c r="A9" s="4" t="s">
        <v>10</v>
      </c>
      <c r="B9" s="4">
        <v>-1643.09</v>
      </c>
      <c r="C9" s="4">
        <v>88</v>
      </c>
      <c r="D9" s="4">
        <v>30</v>
      </c>
      <c r="E9" s="4">
        <v>58</v>
      </c>
      <c r="G9" s="1"/>
      <c r="I9" s="4" t="s">
        <v>10</v>
      </c>
      <c r="J9" s="4">
        <v>-30.1</v>
      </c>
      <c r="K9" s="4">
        <v>86</v>
      </c>
      <c r="L9" s="4">
        <v>38</v>
      </c>
      <c r="M9" s="4">
        <v>48</v>
      </c>
    </row>
    <row r="10" spans="1:13" x14ac:dyDescent="0.3">
      <c r="A10" s="4" t="s">
        <v>11</v>
      </c>
      <c r="B10" s="4">
        <v>526.32000000000005</v>
      </c>
      <c r="C10" s="4">
        <v>79</v>
      </c>
      <c r="D10" s="4">
        <v>33</v>
      </c>
      <c r="E10" s="4">
        <v>46</v>
      </c>
      <c r="G10" s="1"/>
      <c r="I10" s="4" t="s">
        <v>11</v>
      </c>
      <c r="J10" s="4">
        <v>508.57</v>
      </c>
      <c r="K10" s="4">
        <v>92</v>
      </c>
      <c r="L10" s="4">
        <v>42</v>
      </c>
      <c r="M10" s="4">
        <v>50</v>
      </c>
    </row>
    <row r="11" spans="1:13" x14ac:dyDescent="0.3">
      <c r="A11" s="4" t="s">
        <v>12</v>
      </c>
      <c r="B11" s="4">
        <v>-4301.29</v>
      </c>
      <c r="C11" s="4">
        <v>90</v>
      </c>
      <c r="D11" s="4">
        <v>31</v>
      </c>
      <c r="E11" s="4">
        <v>59</v>
      </c>
      <c r="G11" s="1"/>
      <c r="I11" s="4" t="s">
        <v>12</v>
      </c>
      <c r="J11" s="4">
        <v>-2079.0500000000002</v>
      </c>
      <c r="K11" s="4">
        <v>96</v>
      </c>
      <c r="L11" s="4">
        <v>35</v>
      </c>
      <c r="M11" s="4">
        <v>61</v>
      </c>
    </row>
    <row r="12" spans="1:13" x14ac:dyDescent="0.3">
      <c r="A12" s="4" t="s">
        <v>13</v>
      </c>
      <c r="B12" s="4">
        <v>-928.16</v>
      </c>
      <c r="C12" s="4">
        <v>87</v>
      </c>
      <c r="D12" s="4">
        <v>37</v>
      </c>
      <c r="E12" s="4">
        <v>50</v>
      </c>
      <c r="G12" s="1"/>
      <c r="I12" s="4" t="s">
        <v>13</v>
      </c>
      <c r="J12" s="4">
        <v>378.27</v>
      </c>
      <c r="K12" s="4">
        <v>106</v>
      </c>
      <c r="L12" s="4">
        <v>49</v>
      </c>
      <c r="M12" s="4">
        <v>57</v>
      </c>
    </row>
    <row r="13" spans="1:13" x14ac:dyDescent="0.3">
      <c r="A13" s="4" t="s">
        <v>14</v>
      </c>
      <c r="B13" s="4">
        <v>-3237.39</v>
      </c>
      <c r="C13" s="4">
        <v>104</v>
      </c>
      <c r="D13" s="4">
        <v>35</v>
      </c>
      <c r="E13" s="4">
        <v>69</v>
      </c>
      <c r="G13" s="1"/>
      <c r="I13" s="4" t="s">
        <v>14</v>
      </c>
      <c r="J13" s="4">
        <v>976.94</v>
      </c>
      <c r="K13" s="4">
        <v>100</v>
      </c>
      <c r="L13" s="4">
        <v>46</v>
      </c>
      <c r="M13" s="4">
        <v>54</v>
      </c>
    </row>
    <row r="14" spans="1:13" x14ac:dyDescent="0.3">
      <c r="A14" s="4" t="s">
        <v>15</v>
      </c>
      <c r="B14" s="4">
        <v>-4580.8</v>
      </c>
      <c r="C14" s="4">
        <v>103</v>
      </c>
      <c r="D14" s="4">
        <v>33</v>
      </c>
      <c r="E14" s="4">
        <v>70</v>
      </c>
      <c r="G14" s="1"/>
      <c r="I14" s="4" t="s">
        <v>15</v>
      </c>
      <c r="J14" s="4">
        <v>1654.14</v>
      </c>
      <c r="K14" s="4">
        <v>107</v>
      </c>
      <c r="L14" s="4">
        <v>46</v>
      </c>
      <c r="M14" s="4">
        <v>61</v>
      </c>
    </row>
    <row r="15" spans="1:13" x14ac:dyDescent="0.3">
      <c r="A15" s="4" t="s">
        <v>16</v>
      </c>
      <c r="B15" s="4">
        <v>-91.22</v>
      </c>
      <c r="C15" s="4">
        <v>95</v>
      </c>
      <c r="D15" s="4">
        <v>36</v>
      </c>
      <c r="E15" s="4">
        <v>59</v>
      </c>
      <c r="G15" s="1"/>
      <c r="I15" s="4" t="s">
        <v>16</v>
      </c>
      <c r="J15" s="4">
        <v>2817.28</v>
      </c>
      <c r="K15" s="4">
        <v>105</v>
      </c>
      <c r="L15" s="4">
        <v>50</v>
      </c>
      <c r="M15" s="4">
        <v>55</v>
      </c>
    </row>
    <row r="16" spans="1:13" x14ac:dyDescent="0.3">
      <c r="A16" s="4" t="s">
        <v>17</v>
      </c>
      <c r="B16" s="4">
        <v>1077.79</v>
      </c>
      <c r="C16" s="4">
        <v>94</v>
      </c>
      <c r="D16" s="4">
        <v>38</v>
      </c>
      <c r="E16" s="4">
        <v>56</v>
      </c>
      <c r="G16" s="1"/>
      <c r="I16" s="4" t="s">
        <v>17</v>
      </c>
      <c r="J16" s="4">
        <v>1853.05</v>
      </c>
      <c r="K16" s="4">
        <v>115</v>
      </c>
      <c r="L16" s="4">
        <v>51</v>
      </c>
      <c r="M16" s="4">
        <v>64</v>
      </c>
    </row>
    <row r="17" spans="1:13" x14ac:dyDescent="0.3">
      <c r="A17" s="24" t="s">
        <v>23</v>
      </c>
      <c r="B17" s="24"/>
      <c r="C17" s="7">
        <f>SUM(C7:C16)</f>
        <v>886</v>
      </c>
      <c r="D17" s="7">
        <f>SUM(D7:D16)</f>
        <v>329</v>
      </c>
      <c r="E17" s="7">
        <f>SUM(E7:E16)</f>
        <v>557</v>
      </c>
      <c r="G17" s="1"/>
      <c r="I17" s="24" t="s">
        <v>23</v>
      </c>
      <c r="J17" s="24"/>
      <c r="K17" s="7">
        <f>SUM(K7:K16)</f>
        <v>964</v>
      </c>
      <c r="L17" s="7">
        <f>SUM(L7:L16)</f>
        <v>431</v>
      </c>
      <c r="M17" s="7">
        <f>SUM(M7:M16)</f>
        <v>533</v>
      </c>
    </row>
    <row r="18" spans="1:13" x14ac:dyDescent="0.3">
      <c r="G18" s="1"/>
    </row>
    <row r="19" spans="1:13" x14ac:dyDescent="0.3">
      <c r="A19" s="26" t="s">
        <v>18</v>
      </c>
      <c r="B19" s="26"/>
      <c r="C19" s="26"/>
      <c r="D19" s="26"/>
      <c r="E19" s="26"/>
      <c r="G19" s="1"/>
      <c r="I19" s="26" t="s">
        <v>18</v>
      </c>
      <c r="J19" s="26"/>
      <c r="K19" s="26"/>
      <c r="L19" s="26"/>
      <c r="M19" s="26"/>
    </row>
    <row r="20" spans="1:13" x14ac:dyDescent="0.3">
      <c r="A20" s="3" t="s">
        <v>3</v>
      </c>
      <c r="B20" s="3" t="s">
        <v>4</v>
      </c>
      <c r="C20" s="3" t="s">
        <v>5</v>
      </c>
      <c r="D20" s="3" t="s">
        <v>6</v>
      </c>
      <c r="E20" s="3" t="s">
        <v>7</v>
      </c>
      <c r="G20" s="1"/>
      <c r="I20" s="3" t="s">
        <v>3</v>
      </c>
      <c r="J20" s="3" t="s">
        <v>4</v>
      </c>
      <c r="K20" s="3" t="s">
        <v>5</v>
      </c>
      <c r="L20" s="3" t="s">
        <v>6</v>
      </c>
      <c r="M20" s="3" t="s">
        <v>7</v>
      </c>
    </row>
    <row r="21" spans="1:13" x14ac:dyDescent="0.3">
      <c r="A21" s="4" t="s">
        <v>8</v>
      </c>
      <c r="B21" s="4">
        <v>1160.04</v>
      </c>
      <c r="C21" s="4">
        <v>63</v>
      </c>
      <c r="D21" s="4">
        <v>35</v>
      </c>
      <c r="E21" s="4">
        <v>28</v>
      </c>
      <c r="G21" s="1"/>
      <c r="I21" s="4" t="s">
        <v>8</v>
      </c>
      <c r="J21" s="4">
        <v>340.25</v>
      </c>
      <c r="K21" s="4">
        <v>77</v>
      </c>
      <c r="L21" s="4">
        <v>42</v>
      </c>
      <c r="M21" s="4">
        <v>35</v>
      </c>
    </row>
    <row r="22" spans="1:13" x14ac:dyDescent="0.3">
      <c r="A22" s="4" t="s">
        <v>9</v>
      </c>
      <c r="B22" s="4">
        <v>-2121.41</v>
      </c>
      <c r="C22" s="4">
        <v>66</v>
      </c>
      <c r="D22" s="4">
        <v>27</v>
      </c>
      <c r="E22" s="4">
        <v>39</v>
      </c>
      <c r="G22" s="1"/>
      <c r="I22" s="4" t="s">
        <v>9</v>
      </c>
      <c r="J22" s="4">
        <v>-1071.56</v>
      </c>
      <c r="K22" s="4">
        <v>69</v>
      </c>
      <c r="L22" s="4">
        <v>32</v>
      </c>
      <c r="M22" s="4">
        <v>37</v>
      </c>
    </row>
    <row r="23" spans="1:13" x14ac:dyDescent="0.3">
      <c r="A23" s="4" t="s">
        <v>10</v>
      </c>
      <c r="B23" s="4">
        <v>116.6</v>
      </c>
      <c r="C23" s="4">
        <v>69</v>
      </c>
      <c r="D23" s="4">
        <v>35</v>
      </c>
      <c r="E23" s="4">
        <v>34</v>
      </c>
      <c r="G23" s="1"/>
      <c r="I23" s="4" t="s">
        <v>10</v>
      </c>
      <c r="J23" s="4">
        <v>-972.45</v>
      </c>
      <c r="K23" s="4">
        <v>81</v>
      </c>
      <c r="L23" s="4">
        <v>34</v>
      </c>
      <c r="M23" s="4">
        <v>47</v>
      </c>
    </row>
    <row r="24" spans="1:13" x14ac:dyDescent="0.3">
      <c r="A24" s="4" t="s">
        <v>11</v>
      </c>
      <c r="B24" s="4">
        <v>-618.74</v>
      </c>
      <c r="C24" s="4">
        <v>75</v>
      </c>
      <c r="D24" s="4">
        <v>36</v>
      </c>
      <c r="E24" s="4">
        <v>39</v>
      </c>
      <c r="G24" s="1"/>
      <c r="I24" s="4" t="s">
        <v>11</v>
      </c>
      <c r="J24" s="4">
        <v>1212.79</v>
      </c>
      <c r="K24" s="4">
        <v>78</v>
      </c>
      <c r="L24" s="4">
        <v>38</v>
      </c>
      <c r="M24" s="4">
        <v>40</v>
      </c>
    </row>
    <row r="25" spans="1:13" x14ac:dyDescent="0.3">
      <c r="A25" s="4" t="s">
        <v>12</v>
      </c>
      <c r="B25" s="4">
        <v>2135.6</v>
      </c>
      <c r="C25" s="4">
        <v>85</v>
      </c>
      <c r="D25" s="4">
        <v>44</v>
      </c>
      <c r="E25" s="4">
        <v>41</v>
      </c>
      <c r="G25" s="1"/>
      <c r="I25" s="4" t="s">
        <v>12</v>
      </c>
      <c r="J25" s="4">
        <v>-1711.45</v>
      </c>
      <c r="K25" s="4">
        <v>86</v>
      </c>
      <c r="L25" s="4">
        <v>33</v>
      </c>
      <c r="M25" s="4">
        <v>53</v>
      </c>
    </row>
    <row r="26" spans="1:13" x14ac:dyDescent="0.3">
      <c r="A26" s="4" t="s">
        <v>13</v>
      </c>
      <c r="B26" s="4">
        <v>-1961.05</v>
      </c>
      <c r="C26" s="4">
        <v>89</v>
      </c>
      <c r="D26" s="4">
        <v>34</v>
      </c>
      <c r="E26" s="4">
        <v>55</v>
      </c>
      <c r="G26" s="1"/>
      <c r="I26" s="4" t="s">
        <v>13</v>
      </c>
      <c r="J26" s="4">
        <v>5092.4799999999996</v>
      </c>
      <c r="K26" s="4">
        <v>99</v>
      </c>
      <c r="L26" s="4">
        <v>54</v>
      </c>
      <c r="M26" s="4">
        <v>45</v>
      </c>
    </row>
    <row r="27" spans="1:13" x14ac:dyDescent="0.3">
      <c r="A27" s="4" t="s">
        <v>14</v>
      </c>
      <c r="B27" s="4">
        <v>4857.1400000000003</v>
      </c>
      <c r="C27" s="4">
        <v>96</v>
      </c>
      <c r="D27" s="4">
        <v>33</v>
      </c>
      <c r="E27" s="4">
        <v>63</v>
      </c>
      <c r="G27" s="1"/>
      <c r="I27" s="4" t="s">
        <v>14</v>
      </c>
      <c r="J27" s="4">
        <v>1504.74</v>
      </c>
      <c r="K27" s="4">
        <v>95</v>
      </c>
      <c r="L27" s="4">
        <v>43</v>
      </c>
      <c r="M27" s="4">
        <v>52</v>
      </c>
    </row>
    <row r="28" spans="1:13" x14ac:dyDescent="0.3">
      <c r="A28" s="4" t="s">
        <v>15</v>
      </c>
      <c r="B28" s="4">
        <v>-4779.8</v>
      </c>
      <c r="C28" s="4">
        <v>110</v>
      </c>
      <c r="D28" s="4">
        <v>33</v>
      </c>
      <c r="E28" s="4">
        <v>77</v>
      </c>
      <c r="G28" s="1"/>
      <c r="I28" s="4" t="s">
        <v>15</v>
      </c>
      <c r="J28" s="4">
        <v>5865.76</v>
      </c>
      <c r="K28" s="4">
        <v>89</v>
      </c>
      <c r="L28" s="4">
        <v>51</v>
      </c>
      <c r="M28" s="4">
        <v>38</v>
      </c>
    </row>
    <row r="29" spans="1:13" x14ac:dyDescent="0.3">
      <c r="A29" s="4" t="s">
        <v>16</v>
      </c>
      <c r="B29" s="4">
        <v>-307.48</v>
      </c>
      <c r="C29" s="4">
        <v>83</v>
      </c>
      <c r="D29" s="4">
        <v>26</v>
      </c>
      <c r="E29" s="4">
        <v>57</v>
      </c>
      <c r="G29" s="1"/>
      <c r="I29" s="4" t="s">
        <v>16</v>
      </c>
      <c r="J29" s="4">
        <v>5913.1</v>
      </c>
      <c r="K29" s="4">
        <v>107</v>
      </c>
      <c r="L29" s="4">
        <v>58</v>
      </c>
      <c r="M29" s="4">
        <v>49</v>
      </c>
    </row>
    <row r="30" spans="1:13" x14ac:dyDescent="0.3">
      <c r="A30" s="4" t="s">
        <v>17</v>
      </c>
      <c r="B30" s="4">
        <v>-3601.78</v>
      </c>
      <c r="C30" s="4">
        <v>106</v>
      </c>
      <c r="D30" s="4">
        <v>37</v>
      </c>
      <c r="E30" s="4">
        <v>69</v>
      </c>
      <c r="G30" s="1"/>
      <c r="I30" s="4" t="s">
        <v>17</v>
      </c>
      <c r="J30" s="4">
        <v>3413.82</v>
      </c>
      <c r="K30" s="4">
        <v>93</v>
      </c>
      <c r="L30" s="4">
        <v>43</v>
      </c>
      <c r="M30" s="4">
        <v>50</v>
      </c>
    </row>
    <row r="31" spans="1:13" x14ac:dyDescent="0.3">
      <c r="A31" s="24" t="s">
        <v>23</v>
      </c>
      <c r="B31" s="24"/>
      <c r="C31" s="7">
        <f>SUM(C21:C30)</f>
        <v>842</v>
      </c>
      <c r="D31" s="7">
        <f>SUM(D21:D30)</f>
        <v>340</v>
      </c>
      <c r="E31" s="7">
        <f>SUM(E21:E30)</f>
        <v>502</v>
      </c>
      <c r="G31" s="1"/>
      <c r="I31" s="24" t="s">
        <v>23</v>
      </c>
      <c r="J31" s="24"/>
      <c r="K31" s="7">
        <f>SUM(K21:K30)</f>
        <v>874</v>
      </c>
      <c r="L31" s="7">
        <f>SUM(L21:L30)</f>
        <v>428</v>
      </c>
      <c r="M31" s="7">
        <f>SUM(M21:M30)</f>
        <v>446</v>
      </c>
    </row>
    <row r="32" spans="1:13" x14ac:dyDescent="0.3">
      <c r="G32" s="1"/>
    </row>
    <row r="33" spans="1:13" x14ac:dyDescent="0.3">
      <c r="A33" s="26" t="s">
        <v>19</v>
      </c>
      <c r="B33" s="26"/>
      <c r="C33" s="26"/>
      <c r="D33" s="26"/>
      <c r="E33" s="26"/>
      <c r="G33" s="1"/>
      <c r="I33" s="27" t="s">
        <v>19</v>
      </c>
      <c r="J33" s="27"/>
      <c r="K33" s="27"/>
      <c r="L33" s="27"/>
      <c r="M33" s="27"/>
    </row>
    <row r="34" spans="1:13" x14ac:dyDescent="0.3">
      <c r="A34" s="3" t="s">
        <v>3</v>
      </c>
      <c r="B34" s="3" t="s">
        <v>4</v>
      </c>
      <c r="C34" s="3" t="s">
        <v>5</v>
      </c>
      <c r="D34" s="3" t="s">
        <v>6</v>
      </c>
      <c r="E34" s="3" t="s">
        <v>7</v>
      </c>
      <c r="G34" s="1"/>
      <c r="I34" s="3" t="s">
        <v>3</v>
      </c>
      <c r="J34" s="3" t="s">
        <v>4</v>
      </c>
      <c r="K34" s="3" t="s">
        <v>5</v>
      </c>
      <c r="L34" s="3" t="s">
        <v>6</v>
      </c>
      <c r="M34" s="3" t="s">
        <v>7</v>
      </c>
    </row>
    <row r="35" spans="1:13" x14ac:dyDescent="0.3">
      <c r="A35" s="4" t="s">
        <v>8</v>
      </c>
      <c r="B35" s="4">
        <v>-2682.04</v>
      </c>
      <c r="C35" s="4">
        <v>76</v>
      </c>
      <c r="D35" s="4">
        <v>30</v>
      </c>
      <c r="E35" s="4">
        <v>46</v>
      </c>
      <c r="G35" s="1"/>
      <c r="I35" s="4" t="s">
        <v>8</v>
      </c>
      <c r="J35" s="4">
        <v>1606.39</v>
      </c>
      <c r="K35" s="4">
        <v>72</v>
      </c>
      <c r="L35" s="4">
        <v>39</v>
      </c>
      <c r="M35" s="4">
        <v>33</v>
      </c>
    </row>
    <row r="36" spans="1:13" x14ac:dyDescent="0.3">
      <c r="A36" s="4" t="s">
        <v>9</v>
      </c>
      <c r="B36" s="4">
        <v>-1655.17</v>
      </c>
      <c r="C36" s="4">
        <v>71</v>
      </c>
      <c r="D36" s="4">
        <v>29</v>
      </c>
      <c r="E36" s="4">
        <v>42</v>
      </c>
      <c r="G36" s="1"/>
      <c r="I36" s="4" t="s">
        <v>9</v>
      </c>
      <c r="J36" s="4">
        <v>575.1</v>
      </c>
      <c r="K36" s="4">
        <v>65</v>
      </c>
      <c r="L36" s="4">
        <v>31</v>
      </c>
      <c r="M36" s="4">
        <v>34</v>
      </c>
    </row>
    <row r="37" spans="1:13" x14ac:dyDescent="0.3">
      <c r="A37" s="4" t="s">
        <v>10</v>
      </c>
      <c r="B37" s="4">
        <v>-2180.09</v>
      </c>
      <c r="C37" s="4">
        <v>75</v>
      </c>
      <c r="D37" s="4">
        <v>34</v>
      </c>
      <c r="E37" s="4">
        <v>41</v>
      </c>
      <c r="G37" s="1"/>
      <c r="I37" s="4" t="s">
        <v>10</v>
      </c>
      <c r="J37" s="4">
        <v>1035.8900000000001</v>
      </c>
      <c r="K37" s="4">
        <v>74</v>
      </c>
      <c r="L37" s="4">
        <v>37</v>
      </c>
      <c r="M37" s="4">
        <v>37</v>
      </c>
    </row>
    <row r="38" spans="1:13" x14ac:dyDescent="0.3">
      <c r="A38" s="4" t="s">
        <v>11</v>
      </c>
      <c r="B38" s="4">
        <v>2107.1799999999998</v>
      </c>
      <c r="C38" s="4">
        <v>86</v>
      </c>
      <c r="D38" s="4">
        <v>45</v>
      </c>
      <c r="E38" s="4">
        <v>41</v>
      </c>
      <c r="G38" s="1"/>
      <c r="I38" s="4" t="s">
        <v>11</v>
      </c>
      <c r="J38" s="4">
        <v>2426.86</v>
      </c>
      <c r="K38" s="4">
        <v>81</v>
      </c>
      <c r="L38" s="4">
        <v>43</v>
      </c>
      <c r="M38" s="4">
        <v>38</v>
      </c>
    </row>
    <row r="39" spans="1:13" x14ac:dyDescent="0.3">
      <c r="A39" s="4" t="s">
        <v>12</v>
      </c>
      <c r="B39" s="4">
        <v>-57.39</v>
      </c>
      <c r="C39" s="4">
        <v>76</v>
      </c>
      <c r="D39" s="4">
        <v>35</v>
      </c>
      <c r="E39" s="4">
        <v>41</v>
      </c>
      <c r="G39" s="1"/>
      <c r="I39" s="4" t="s">
        <v>12</v>
      </c>
      <c r="J39" s="4">
        <v>-365</v>
      </c>
      <c r="K39" s="4">
        <v>83</v>
      </c>
      <c r="L39" s="4">
        <v>37</v>
      </c>
      <c r="M39" s="4">
        <v>46</v>
      </c>
    </row>
    <row r="40" spans="1:13" x14ac:dyDescent="0.3">
      <c r="A40" s="4" t="s">
        <v>13</v>
      </c>
      <c r="B40" s="4">
        <v>-1245.03</v>
      </c>
      <c r="C40" s="4">
        <v>74</v>
      </c>
      <c r="D40" s="4">
        <v>29</v>
      </c>
      <c r="E40" s="4">
        <v>45</v>
      </c>
      <c r="G40" s="1"/>
      <c r="I40" s="4" t="s">
        <v>13</v>
      </c>
      <c r="J40" s="4">
        <v>-252.48</v>
      </c>
      <c r="K40" s="4">
        <v>96</v>
      </c>
      <c r="L40" s="4">
        <v>47</v>
      </c>
      <c r="M40" s="4">
        <v>49</v>
      </c>
    </row>
    <row r="41" spans="1:13" x14ac:dyDescent="0.3">
      <c r="A41" s="4" t="s">
        <v>14</v>
      </c>
      <c r="B41" s="4">
        <v>-1306.99</v>
      </c>
      <c r="C41" s="4">
        <v>90</v>
      </c>
      <c r="D41" s="4">
        <v>34</v>
      </c>
      <c r="E41" s="4">
        <v>56</v>
      </c>
      <c r="G41" s="1"/>
      <c r="I41" s="4" t="s">
        <v>14</v>
      </c>
      <c r="J41" s="4">
        <v>2271.2399999999998</v>
      </c>
      <c r="K41" s="4">
        <v>104</v>
      </c>
      <c r="L41" s="4">
        <v>49</v>
      </c>
      <c r="M41" s="4">
        <v>55</v>
      </c>
    </row>
    <row r="42" spans="1:13" x14ac:dyDescent="0.3">
      <c r="A42" s="4" t="s">
        <v>15</v>
      </c>
      <c r="B42" s="4">
        <v>-3963.43</v>
      </c>
      <c r="C42" s="4">
        <v>101</v>
      </c>
      <c r="D42" s="4">
        <v>37</v>
      </c>
      <c r="E42" s="4">
        <v>64</v>
      </c>
      <c r="G42" s="1"/>
      <c r="I42" s="4" t="s">
        <v>15</v>
      </c>
      <c r="J42" s="4">
        <v>4499.26</v>
      </c>
      <c r="K42" s="4">
        <v>96</v>
      </c>
      <c r="L42" s="4">
        <v>53</v>
      </c>
      <c r="M42" s="4">
        <v>43</v>
      </c>
    </row>
    <row r="43" spans="1:13" x14ac:dyDescent="0.3">
      <c r="A43" s="4" t="s">
        <v>16</v>
      </c>
      <c r="B43" s="4">
        <v>-3172.78</v>
      </c>
      <c r="C43" s="4">
        <v>88</v>
      </c>
      <c r="D43" s="4">
        <v>27</v>
      </c>
      <c r="E43" s="4">
        <v>61</v>
      </c>
      <c r="G43" s="1"/>
      <c r="I43" s="4" t="s">
        <v>16</v>
      </c>
      <c r="J43" s="4">
        <v>5153.37</v>
      </c>
      <c r="K43" s="4">
        <v>81</v>
      </c>
      <c r="L43" s="4">
        <v>47</v>
      </c>
      <c r="M43" s="4">
        <v>34</v>
      </c>
    </row>
    <row r="44" spans="1:13" x14ac:dyDescent="0.3">
      <c r="A44" s="4" t="s">
        <v>17</v>
      </c>
      <c r="B44" s="4">
        <v>1035.4100000000001</v>
      </c>
      <c r="C44" s="4">
        <v>85</v>
      </c>
      <c r="D44" s="4">
        <v>41</v>
      </c>
      <c r="E44" s="4">
        <v>44</v>
      </c>
      <c r="G44" s="1"/>
      <c r="I44" s="4" t="s">
        <v>17</v>
      </c>
      <c r="J44" s="4">
        <v>2293.35</v>
      </c>
      <c r="K44" s="4">
        <v>95</v>
      </c>
      <c r="L44" s="4">
        <v>47</v>
      </c>
      <c r="M44" s="4">
        <v>48</v>
      </c>
    </row>
    <row r="45" spans="1:13" x14ac:dyDescent="0.3">
      <c r="A45" s="24" t="s">
        <v>23</v>
      </c>
      <c r="B45" s="24"/>
      <c r="C45" s="7">
        <f>SUM(C35:C44)</f>
        <v>822</v>
      </c>
      <c r="D45" s="7">
        <f>SUM(D35:D44)</f>
        <v>341</v>
      </c>
      <c r="E45" s="7">
        <f>SUM(E35:E44)</f>
        <v>481</v>
      </c>
      <c r="G45" s="1"/>
      <c r="I45" s="24" t="s">
        <v>23</v>
      </c>
      <c r="J45" s="24"/>
      <c r="K45" s="7">
        <f>SUM(K35:K44)</f>
        <v>847</v>
      </c>
      <c r="L45" s="7">
        <f>SUM(L35:L44)</f>
        <v>430</v>
      </c>
      <c r="M45" s="7">
        <f>SUM(M35:M44)</f>
        <v>417</v>
      </c>
    </row>
    <row r="46" spans="1:13" x14ac:dyDescent="0.3">
      <c r="G46" s="1"/>
    </row>
    <row r="47" spans="1:13" x14ac:dyDescent="0.3">
      <c r="A47" s="26" t="s">
        <v>20</v>
      </c>
      <c r="B47" s="26"/>
      <c r="C47" s="26"/>
      <c r="D47" s="26"/>
      <c r="E47" s="26"/>
      <c r="G47" s="1"/>
      <c r="I47" s="26" t="s">
        <v>20</v>
      </c>
      <c r="J47" s="26"/>
      <c r="K47" s="26"/>
      <c r="L47" s="26"/>
      <c r="M47" s="26"/>
    </row>
    <row r="48" spans="1:13" x14ac:dyDescent="0.3">
      <c r="A48" s="3" t="s">
        <v>3</v>
      </c>
      <c r="B48" s="3" t="s">
        <v>4</v>
      </c>
      <c r="C48" s="3" t="s">
        <v>5</v>
      </c>
      <c r="D48" s="3" t="s">
        <v>6</v>
      </c>
      <c r="E48" s="3" t="s">
        <v>7</v>
      </c>
      <c r="G48" s="1"/>
      <c r="I48" s="3" t="s">
        <v>3</v>
      </c>
      <c r="J48" s="3" t="s">
        <v>4</v>
      </c>
      <c r="K48" s="3" t="s">
        <v>5</v>
      </c>
      <c r="L48" s="3" t="s">
        <v>6</v>
      </c>
      <c r="M48" s="3" t="s">
        <v>7</v>
      </c>
    </row>
    <row r="49" spans="1:13" x14ac:dyDescent="0.3">
      <c r="A49" s="4" t="s">
        <v>8</v>
      </c>
      <c r="B49" s="4">
        <v>2194.65</v>
      </c>
      <c r="C49" s="4">
        <v>73</v>
      </c>
      <c r="D49" s="4">
        <v>36</v>
      </c>
      <c r="E49" s="4">
        <v>37</v>
      </c>
      <c r="G49" s="1"/>
      <c r="I49" s="4" t="s">
        <v>8</v>
      </c>
      <c r="J49" s="4">
        <v>1447.59</v>
      </c>
      <c r="K49" s="4">
        <v>80</v>
      </c>
      <c r="L49" s="4">
        <v>40</v>
      </c>
      <c r="M49" s="4">
        <v>40</v>
      </c>
    </row>
    <row r="50" spans="1:13" x14ac:dyDescent="0.3">
      <c r="A50" s="4" t="s">
        <v>9</v>
      </c>
      <c r="B50" s="4">
        <v>648.65</v>
      </c>
      <c r="C50" s="4">
        <v>78</v>
      </c>
      <c r="D50" s="4">
        <v>40</v>
      </c>
      <c r="E50" s="4">
        <v>38</v>
      </c>
      <c r="G50" s="1"/>
      <c r="I50" s="4" t="s">
        <v>9</v>
      </c>
      <c r="J50" s="4">
        <v>28.32</v>
      </c>
      <c r="K50" s="4">
        <v>89</v>
      </c>
      <c r="L50" s="4">
        <v>37</v>
      </c>
      <c r="M50" s="4">
        <v>52</v>
      </c>
    </row>
    <row r="51" spans="1:13" x14ac:dyDescent="0.3">
      <c r="A51" s="4" t="s">
        <v>10</v>
      </c>
      <c r="B51" s="4">
        <v>1446.15</v>
      </c>
      <c r="C51" s="4">
        <v>76</v>
      </c>
      <c r="D51" s="4">
        <v>37</v>
      </c>
      <c r="E51" s="4">
        <v>39</v>
      </c>
      <c r="G51" s="1"/>
      <c r="I51" s="4" t="s">
        <v>10</v>
      </c>
      <c r="J51" s="4">
        <v>145.63999999999999</v>
      </c>
      <c r="K51" s="4">
        <v>83</v>
      </c>
      <c r="L51" s="4">
        <v>41</v>
      </c>
      <c r="M51" s="4">
        <v>42</v>
      </c>
    </row>
    <row r="52" spans="1:13" x14ac:dyDescent="0.3">
      <c r="A52" s="4" t="s">
        <v>11</v>
      </c>
      <c r="B52" s="4">
        <v>-281.52999999999997</v>
      </c>
      <c r="C52" s="4">
        <v>82</v>
      </c>
      <c r="D52" s="4">
        <v>33</v>
      </c>
      <c r="E52" s="4">
        <v>49</v>
      </c>
      <c r="G52" s="1"/>
      <c r="I52" s="4" t="s">
        <v>11</v>
      </c>
      <c r="J52" s="4">
        <v>3141.44</v>
      </c>
      <c r="K52" s="4">
        <v>103</v>
      </c>
      <c r="L52" s="4">
        <v>48</v>
      </c>
      <c r="M52" s="4">
        <v>55</v>
      </c>
    </row>
    <row r="53" spans="1:13" x14ac:dyDescent="0.3">
      <c r="A53" s="4" t="s">
        <v>12</v>
      </c>
      <c r="B53" s="4">
        <v>-2988.64</v>
      </c>
      <c r="C53" s="4">
        <v>94</v>
      </c>
      <c r="D53" s="4">
        <v>31</v>
      </c>
      <c r="E53" s="4">
        <v>63</v>
      </c>
      <c r="G53" s="1"/>
      <c r="I53" s="4" t="s">
        <v>12</v>
      </c>
      <c r="J53" s="4">
        <v>-2005.75</v>
      </c>
      <c r="K53" s="4">
        <v>86</v>
      </c>
      <c r="L53" s="4">
        <v>33</v>
      </c>
      <c r="M53" s="4">
        <v>53</v>
      </c>
    </row>
    <row r="54" spans="1:13" x14ac:dyDescent="0.3">
      <c r="A54" s="4" t="s">
        <v>13</v>
      </c>
      <c r="B54" s="4">
        <v>-2421.21</v>
      </c>
      <c r="C54" s="4">
        <v>87</v>
      </c>
      <c r="D54" s="4">
        <v>31</v>
      </c>
      <c r="E54" s="4">
        <v>56</v>
      </c>
      <c r="G54" s="1"/>
      <c r="I54" s="4" t="s">
        <v>13</v>
      </c>
      <c r="J54" s="4">
        <v>-738.58</v>
      </c>
      <c r="K54" s="4">
        <v>95</v>
      </c>
      <c r="L54" s="4">
        <v>39</v>
      </c>
      <c r="M54" s="4">
        <v>56</v>
      </c>
    </row>
    <row r="55" spans="1:13" x14ac:dyDescent="0.3">
      <c r="A55" s="4" t="s">
        <v>14</v>
      </c>
      <c r="B55" s="4">
        <v>-135.24</v>
      </c>
      <c r="C55" s="4">
        <v>98</v>
      </c>
      <c r="D55" s="4">
        <v>41</v>
      </c>
      <c r="E55" s="4">
        <v>57</v>
      </c>
      <c r="G55" s="1"/>
      <c r="I55" s="4" t="s">
        <v>14</v>
      </c>
      <c r="J55" s="4">
        <v>-2405.4499999999998</v>
      </c>
      <c r="K55" s="4">
        <v>97</v>
      </c>
      <c r="L55" s="4">
        <v>37</v>
      </c>
      <c r="M55" s="4">
        <v>60</v>
      </c>
    </row>
    <row r="56" spans="1:13" x14ac:dyDescent="0.3">
      <c r="A56" s="4" t="s">
        <v>15</v>
      </c>
      <c r="B56" s="4">
        <v>-304.68</v>
      </c>
      <c r="C56" s="4">
        <v>98</v>
      </c>
      <c r="D56" s="4">
        <v>36</v>
      </c>
      <c r="E56" s="4">
        <v>62</v>
      </c>
      <c r="G56" s="1"/>
      <c r="I56" s="4" t="s">
        <v>15</v>
      </c>
      <c r="J56" s="4">
        <v>1745.37</v>
      </c>
      <c r="K56" s="4">
        <v>99</v>
      </c>
      <c r="L56" s="4">
        <v>42</v>
      </c>
      <c r="M56" s="4">
        <v>57</v>
      </c>
    </row>
    <row r="57" spans="1:13" x14ac:dyDescent="0.3">
      <c r="A57" s="4" t="s">
        <v>16</v>
      </c>
      <c r="B57" s="4">
        <v>-2434.16</v>
      </c>
      <c r="C57" s="4">
        <v>110</v>
      </c>
      <c r="D57" s="4">
        <v>40</v>
      </c>
      <c r="E57" s="4">
        <v>70</v>
      </c>
      <c r="G57" s="1"/>
      <c r="I57" s="4" t="s">
        <v>16</v>
      </c>
      <c r="J57" s="4">
        <v>2920.28</v>
      </c>
      <c r="K57" s="4">
        <v>94</v>
      </c>
      <c r="L57" s="4">
        <v>46</v>
      </c>
      <c r="M57" s="4">
        <v>48</v>
      </c>
    </row>
    <row r="58" spans="1:13" x14ac:dyDescent="0.3">
      <c r="A58" s="4" t="s">
        <v>17</v>
      </c>
      <c r="B58" s="4">
        <v>-2261.4699999999998</v>
      </c>
      <c r="C58" s="4">
        <v>87</v>
      </c>
      <c r="D58" s="4">
        <v>32</v>
      </c>
      <c r="E58" s="4">
        <v>55</v>
      </c>
      <c r="G58" s="1"/>
      <c r="I58" s="4" t="s">
        <v>17</v>
      </c>
      <c r="J58" s="4">
        <v>1018.53</v>
      </c>
      <c r="K58" s="4">
        <v>90</v>
      </c>
      <c r="L58" s="4">
        <v>36</v>
      </c>
      <c r="M58" s="4">
        <v>54</v>
      </c>
    </row>
    <row r="59" spans="1:13" x14ac:dyDescent="0.3">
      <c r="A59" s="24" t="s">
        <v>23</v>
      </c>
      <c r="B59" s="24"/>
      <c r="C59" s="7">
        <f>SUM(C49:C58)</f>
        <v>883</v>
      </c>
      <c r="D59" s="7">
        <f>SUM(D49:D58)</f>
        <v>357</v>
      </c>
      <c r="E59" s="7">
        <f>SUM(E49:E58)</f>
        <v>526</v>
      </c>
      <c r="I59" s="24" t="s">
        <v>23</v>
      </c>
      <c r="J59" s="24"/>
      <c r="K59" s="7">
        <f>SUM(K49:K58)</f>
        <v>916</v>
      </c>
      <c r="L59" s="7">
        <f>SUM(L49:L58)</f>
        <v>399</v>
      </c>
      <c r="M59" s="7">
        <f>SUM(M49:M58)</f>
        <v>517</v>
      </c>
    </row>
    <row r="61" spans="1:13" x14ac:dyDescent="0.3">
      <c r="A61" s="25" t="s">
        <v>22</v>
      </c>
      <c r="B61" s="25"/>
      <c r="C61" s="8">
        <f>C59+C45+C31+C17</f>
        <v>3433</v>
      </c>
      <c r="D61" s="8">
        <f t="shared" ref="D61:E61" si="0">D59+D45+D31+D17</f>
        <v>1367</v>
      </c>
      <c r="E61" s="8">
        <f t="shared" si="0"/>
        <v>2066</v>
      </c>
      <c r="I61" s="25" t="s">
        <v>31</v>
      </c>
      <c r="J61" s="25"/>
      <c r="K61" s="8">
        <f>K59+K45+K31+K17</f>
        <v>3601</v>
      </c>
      <c r="L61" s="8">
        <f t="shared" ref="L61:M61" si="1">L59+L45+L31+L17</f>
        <v>1688</v>
      </c>
      <c r="M61" s="8">
        <f t="shared" si="1"/>
        <v>1913</v>
      </c>
    </row>
    <row r="65" spans="3:10" x14ac:dyDescent="0.3">
      <c r="E65" s="23" t="s">
        <v>35</v>
      </c>
      <c r="F65" s="23"/>
      <c r="I65" s="23" t="s">
        <v>37</v>
      </c>
      <c r="J65" s="23"/>
    </row>
    <row r="66" spans="3:10" x14ac:dyDescent="0.3">
      <c r="C66" s="5"/>
      <c r="E66" s="10" t="s">
        <v>32</v>
      </c>
      <c r="F66" s="10">
        <f>C61+K61</f>
        <v>7034</v>
      </c>
      <c r="I66" s="10" t="s">
        <v>36</v>
      </c>
      <c r="J66" s="11">
        <f>F67/F66</f>
        <v>0.4343190218936594</v>
      </c>
    </row>
    <row r="67" spans="3:10" x14ac:dyDescent="0.3">
      <c r="C67" s="5"/>
      <c r="E67" s="10" t="s">
        <v>33</v>
      </c>
      <c r="F67" s="10">
        <f>D61+L61</f>
        <v>3055</v>
      </c>
      <c r="I67" s="10" t="s">
        <v>34</v>
      </c>
      <c r="J67" s="11">
        <f>F68/F66</f>
        <v>0.56568097810634066</v>
      </c>
    </row>
    <row r="68" spans="3:10" x14ac:dyDescent="0.3">
      <c r="C68" s="6"/>
      <c r="E68" s="10" t="s">
        <v>34</v>
      </c>
      <c r="F68" s="10">
        <f>E61+M61</f>
        <v>3979</v>
      </c>
    </row>
  </sheetData>
  <mergeCells count="23">
    <mergeCell ref="A33:E33"/>
    <mergeCell ref="I33:M33"/>
    <mergeCell ref="A47:E47"/>
    <mergeCell ref="I47:M47"/>
    <mergeCell ref="A1:M1"/>
    <mergeCell ref="A3:E3"/>
    <mergeCell ref="I3:M3"/>
    <mergeCell ref="A5:E5"/>
    <mergeCell ref="I5:M5"/>
    <mergeCell ref="A19:E19"/>
    <mergeCell ref="I19:M19"/>
    <mergeCell ref="A17:B17"/>
    <mergeCell ref="I17:J17"/>
    <mergeCell ref="I31:J31"/>
    <mergeCell ref="A31:B31"/>
    <mergeCell ref="A45:B45"/>
    <mergeCell ref="E65:F65"/>
    <mergeCell ref="I65:J65"/>
    <mergeCell ref="I45:J45"/>
    <mergeCell ref="A59:B59"/>
    <mergeCell ref="I59:J59"/>
    <mergeCell ref="A61:B61"/>
    <mergeCell ref="I61:J6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CC252-E7DC-4B92-8E49-F2503AEF66C2}">
  <dimension ref="A1:M68"/>
  <sheetViews>
    <sheetView workbookViewId="0">
      <selection sqref="A1:M1"/>
    </sheetView>
  </sheetViews>
  <sheetFormatPr defaultRowHeight="14.4" x14ac:dyDescent="0.3"/>
  <cols>
    <col min="1" max="1" width="11.77734375" bestFit="1" customWidth="1"/>
    <col min="2" max="2" width="12" bestFit="1" customWidth="1"/>
    <col min="3" max="3" width="20.44140625" bestFit="1" customWidth="1"/>
    <col min="4" max="4" width="14.44140625" bestFit="1" customWidth="1"/>
    <col min="5" max="5" width="15.5546875" bestFit="1" customWidth="1"/>
    <col min="6" max="6" width="5" bestFit="1" customWidth="1"/>
    <col min="7" max="7" width="2.77734375" customWidth="1"/>
    <col min="8" max="8" width="3.109375" customWidth="1"/>
    <col min="9" max="9" width="11.77734375" bestFit="1" customWidth="1"/>
    <col min="10" max="10" width="12" bestFit="1" customWidth="1"/>
    <col min="11" max="11" width="20.44140625" bestFit="1" customWidth="1"/>
    <col min="12" max="12" width="14.44140625" bestFit="1" customWidth="1"/>
    <col min="13" max="13" width="15.5546875" bestFit="1" customWidth="1"/>
  </cols>
  <sheetData>
    <row r="1" spans="1:13" ht="18" x14ac:dyDescent="0.35">
      <c r="A1" s="28" t="s">
        <v>30</v>
      </c>
      <c r="B1" s="28"/>
      <c r="C1" s="28"/>
      <c r="D1" s="28"/>
      <c r="E1" s="28"/>
      <c r="F1" s="28"/>
      <c r="G1" s="28"/>
      <c r="H1" s="28"/>
      <c r="I1" s="28"/>
      <c r="J1" s="28"/>
      <c r="K1" s="28"/>
      <c r="L1" s="28"/>
      <c r="M1" s="28"/>
    </row>
    <row r="3" spans="1:13" ht="15.6" x14ac:dyDescent="0.3">
      <c r="A3" s="29" t="s">
        <v>0</v>
      </c>
      <c r="B3" s="29"/>
      <c r="C3" s="29"/>
      <c r="D3" s="29"/>
      <c r="E3" s="29"/>
      <c r="G3" s="1"/>
      <c r="I3" s="29" t="s">
        <v>1</v>
      </c>
      <c r="J3" s="29"/>
      <c r="K3" s="29"/>
      <c r="L3" s="29"/>
      <c r="M3" s="29"/>
    </row>
    <row r="4" spans="1:13" ht="15.6" x14ac:dyDescent="0.3">
      <c r="A4" s="2"/>
      <c r="B4" s="2"/>
      <c r="C4" s="2"/>
      <c r="D4" s="2"/>
      <c r="E4" s="2"/>
      <c r="G4" s="1"/>
      <c r="I4" s="2"/>
      <c r="J4" s="2"/>
      <c r="K4" s="2"/>
      <c r="L4" s="2"/>
      <c r="M4" s="2"/>
    </row>
    <row r="5" spans="1:13" x14ac:dyDescent="0.3">
      <c r="A5" s="26" t="s">
        <v>2</v>
      </c>
      <c r="B5" s="26"/>
      <c r="C5" s="26"/>
      <c r="D5" s="26"/>
      <c r="E5" s="26"/>
      <c r="G5" s="1"/>
      <c r="I5" s="26" t="s">
        <v>2</v>
      </c>
      <c r="J5" s="26"/>
      <c r="K5" s="26"/>
      <c r="L5" s="26"/>
      <c r="M5" s="26"/>
    </row>
    <row r="6" spans="1:13" x14ac:dyDescent="0.3">
      <c r="A6" s="3" t="s">
        <v>3</v>
      </c>
      <c r="B6" s="3" t="s">
        <v>4</v>
      </c>
      <c r="C6" s="3" t="s">
        <v>5</v>
      </c>
      <c r="D6" s="3" t="s">
        <v>6</v>
      </c>
      <c r="E6" s="3" t="s">
        <v>7</v>
      </c>
      <c r="G6" s="1"/>
      <c r="I6" s="3" t="s">
        <v>3</v>
      </c>
      <c r="J6" s="3" t="s">
        <v>4</v>
      </c>
      <c r="K6" s="3" t="s">
        <v>5</v>
      </c>
      <c r="L6" s="3" t="s">
        <v>6</v>
      </c>
      <c r="M6" s="3" t="s">
        <v>7</v>
      </c>
    </row>
    <row r="7" spans="1:13" x14ac:dyDescent="0.3">
      <c r="A7" s="4" t="s">
        <v>8</v>
      </c>
      <c r="B7" s="4">
        <v>-1613.39</v>
      </c>
      <c r="C7" s="4">
        <v>35</v>
      </c>
      <c r="D7" s="4">
        <v>11</v>
      </c>
      <c r="E7" s="4">
        <v>24</v>
      </c>
      <c r="G7" s="1"/>
      <c r="I7" s="4" t="s">
        <v>8</v>
      </c>
      <c r="J7" s="4">
        <v>503.09</v>
      </c>
      <c r="K7" s="4">
        <v>32</v>
      </c>
      <c r="L7" s="4">
        <v>18</v>
      </c>
      <c r="M7" s="4">
        <v>14</v>
      </c>
    </row>
    <row r="8" spans="1:13" x14ac:dyDescent="0.3">
      <c r="A8" s="4" t="s">
        <v>9</v>
      </c>
      <c r="B8" s="4">
        <v>1144</v>
      </c>
      <c r="C8" s="4">
        <v>40</v>
      </c>
      <c r="D8" s="4">
        <v>19</v>
      </c>
      <c r="E8" s="4">
        <v>21</v>
      </c>
      <c r="G8" s="1"/>
      <c r="I8" s="4" t="s">
        <v>9</v>
      </c>
      <c r="J8" s="4">
        <v>-112.96</v>
      </c>
      <c r="K8" s="4">
        <v>23</v>
      </c>
      <c r="L8" s="4">
        <v>9</v>
      </c>
      <c r="M8" s="4">
        <v>14</v>
      </c>
    </row>
    <row r="9" spans="1:13" x14ac:dyDescent="0.3">
      <c r="A9" s="4" t="s">
        <v>10</v>
      </c>
      <c r="B9" s="4">
        <v>-164.14</v>
      </c>
      <c r="C9" s="4">
        <v>38</v>
      </c>
      <c r="D9" s="4">
        <v>15</v>
      </c>
      <c r="E9" s="4">
        <v>22</v>
      </c>
      <c r="G9" s="1"/>
      <c r="I9" s="4" t="s">
        <v>10</v>
      </c>
      <c r="J9" s="4">
        <v>3098.74</v>
      </c>
      <c r="K9" s="4">
        <v>28</v>
      </c>
      <c r="L9" s="4">
        <v>19</v>
      </c>
      <c r="M9" s="4">
        <v>9</v>
      </c>
    </row>
    <row r="10" spans="1:13" x14ac:dyDescent="0.3">
      <c r="A10" s="4" t="s">
        <v>11</v>
      </c>
      <c r="B10" s="4">
        <v>3296.81</v>
      </c>
      <c r="C10" s="4">
        <v>46</v>
      </c>
      <c r="D10" s="4">
        <v>24</v>
      </c>
      <c r="E10" s="4">
        <v>22</v>
      </c>
      <c r="G10" s="1"/>
      <c r="I10" s="4" t="s">
        <v>11</v>
      </c>
      <c r="J10" s="4">
        <v>-402.91</v>
      </c>
      <c r="K10" s="4">
        <v>34</v>
      </c>
      <c r="L10" s="4">
        <v>12</v>
      </c>
      <c r="M10" s="4">
        <v>21</v>
      </c>
    </row>
    <row r="11" spans="1:13" x14ac:dyDescent="0.3">
      <c r="A11" s="4" t="s">
        <v>12</v>
      </c>
      <c r="B11" s="4">
        <v>292.10000000000002</v>
      </c>
      <c r="C11" s="4">
        <v>45</v>
      </c>
      <c r="D11" s="4">
        <v>17</v>
      </c>
      <c r="E11" s="4">
        <v>28</v>
      </c>
      <c r="G11" s="1"/>
      <c r="I11" s="4" t="s">
        <v>12</v>
      </c>
      <c r="J11" s="4">
        <v>-1929.4</v>
      </c>
      <c r="K11" s="4">
        <v>31</v>
      </c>
      <c r="L11" s="4">
        <v>7</v>
      </c>
      <c r="M11" s="4">
        <v>24</v>
      </c>
    </row>
    <row r="12" spans="1:13" x14ac:dyDescent="0.3">
      <c r="A12" s="4" t="s">
        <v>13</v>
      </c>
      <c r="B12" s="4">
        <v>430.99</v>
      </c>
      <c r="C12" s="4">
        <v>31</v>
      </c>
      <c r="D12" s="4">
        <v>13</v>
      </c>
      <c r="E12" s="4">
        <v>18</v>
      </c>
      <c r="G12" s="1"/>
      <c r="I12" s="4" t="s">
        <v>13</v>
      </c>
      <c r="J12" s="4">
        <v>-885.39</v>
      </c>
      <c r="K12" s="4">
        <v>29</v>
      </c>
      <c r="L12" s="4">
        <v>10</v>
      </c>
      <c r="M12" s="4">
        <v>19</v>
      </c>
    </row>
    <row r="13" spans="1:13" x14ac:dyDescent="0.3">
      <c r="A13" s="4" t="s">
        <v>14</v>
      </c>
      <c r="B13" s="4">
        <v>-2425.9899999999998</v>
      </c>
      <c r="C13" s="4">
        <v>53</v>
      </c>
      <c r="D13" s="4">
        <v>14</v>
      </c>
      <c r="E13" s="4">
        <v>39</v>
      </c>
      <c r="G13" s="1"/>
      <c r="I13" s="4" t="s">
        <v>14</v>
      </c>
      <c r="J13" s="4">
        <v>828.54</v>
      </c>
      <c r="K13" s="4">
        <v>28</v>
      </c>
      <c r="L13" s="4">
        <v>18</v>
      </c>
      <c r="M13" s="4">
        <v>20</v>
      </c>
    </row>
    <row r="14" spans="1:13" x14ac:dyDescent="0.3">
      <c r="A14" s="4" t="s">
        <v>15</v>
      </c>
      <c r="B14" s="4">
        <v>652.61</v>
      </c>
      <c r="C14" s="4">
        <v>38</v>
      </c>
      <c r="D14" s="4">
        <v>17</v>
      </c>
      <c r="E14" s="4">
        <v>21</v>
      </c>
      <c r="G14" s="1"/>
      <c r="I14" s="4" t="s">
        <v>15</v>
      </c>
      <c r="J14" s="4">
        <v>1982.55</v>
      </c>
      <c r="K14" s="4">
        <v>36</v>
      </c>
      <c r="L14" s="4">
        <v>20</v>
      </c>
      <c r="M14" s="4">
        <v>16</v>
      </c>
    </row>
    <row r="15" spans="1:13" x14ac:dyDescent="0.3">
      <c r="A15" s="4" t="s">
        <v>16</v>
      </c>
      <c r="B15" s="4">
        <v>-180.32</v>
      </c>
      <c r="C15" s="4">
        <v>51</v>
      </c>
      <c r="D15" s="4">
        <v>19</v>
      </c>
      <c r="E15" s="4">
        <v>32</v>
      </c>
      <c r="G15" s="1"/>
      <c r="I15" s="4" t="s">
        <v>16</v>
      </c>
      <c r="J15" s="4">
        <v>3172.69</v>
      </c>
      <c r="K15" s="4">
        <v>33</v>
      </c>
      <c r="L15" s="4">
        <v>22</v>
      </c>
      <c r="M15" s="4">
        <v>11</v>
      </c>
    </row>
    <row r="16" spans="1:13" x14ac:dyDescent="0.3">
      <c r="A16" s="4" t="s">
        <v>17</v>
      </c>
      <c r="B16" s="4">
        <v>1425.87</v>
      </c>
      <c r="C16" s="4">
        <v>42</v>
      </c>
      <c r="D16" s="4">
        <v>18</v>
      </c>
      <c r="E16" s="4">
        <v>24</v>
      </c>
      <c r="G16" s="1"/>
      <c r="I16" s="4" t="s">
        <v>17</v>
      </c>
      <c r="J16" s="4">
        <v>-2771.59</v>
      </c>
      <c r="K16" s="4">
        <v>36</v>
      </c>
      <c r="L16" s="4">
        <v>8</v>
      </c>
      <c r="M16" s="4">
        <v>28</v>
      </c>
    </row>
    <row r="17" spans="1:13" x14ac:dyDescent="0.3">
      <c r="A17" s="24" t="s">
        <v>23</v>
      </c>
      <c r="B17" s="24"/>
      <c r="C17" s="7">
        <f>SUM(C7:C16)</f>
        <v>419</v>
      </c>
      <c r="D17" s="7">
        <f>SUM(D7:D16)</f>
        <v>167</v>
      </c>
      <c r="E17" s="7">
        <f>SUM(E7:E16)</f>
        <v>251</v>
      </c>
      <c r="G17" s="1"/>
      <c r="I17" s="24" t="s">
        <v>23</v>
      </c>
      <c r="J17" s="24"/>
      <c r="K17" s="7">
        <f>SUM(K7:K16)</f>
        <v>310</v>
      </c>
      <c r="L17" s="7">
        <f>SUM(L7:L16)</f>
        <v>143</v>
      </c>
      <c r="M17" s="7">
        <f>SUM(M7:M16)</f>
        <v>176</v>
      </c>
    </row>
    <row r="18" spans="1:13" x14ac:dyDescent="0.3">
      <c r="G18" s="1"/>
    </row>
    <row r="19" spans="1:13" x14ac:dyDescent="0.3">
      <c r="A19" s="26" t="s">
        <v>18</v>
      </c>
      <c r="B19" s="26"/>
      <c r="C19" s="26"/>
      <c r="D19" s="26"/>
      <c r="E19" s="26"/>
      <c r="G19" s="1"/>
      <c r="I19" s="26" t="s">
        <v>18</v>
      </c>
      <c r="J19" s="26"/>
      <c r="K19" s="26"/>
      <c r="L19" s="26"/>
      <c r="M19" s="26"/>
    </row>
    <row r="20" spans="1:13" x14ac:dyDescent="0.3">
      <c r="A20" s="3" t="s">
        <v>3</v>
      </c>
      <c r="B20" s="3" t="s">
        <v>4</v>
      </c>
      <c r="C20" s="3" t="s">
        <v>5</v>
      </c>
      <c r="D20" s="3" t="s">
        <v>6</v>
      </c>
      <c r="E20" s="3" t="s">
        <v>7</v>
      </c>
      <c r="G20" s="1"/>
      <c r="I20" s="3" t="s">
        <v>3</v>
      </c>
      <c r="J20" s="3" t="s">
        <v>4</v>
      </c>
      <c r="K20" s="3" t="s">
        <v>5</v>
      </c>
      <c r="L20" s="3" t="s">
        <v>6</v>
      </c>
      <c r="M20" s="3" t="s">
        <v>7</v>
      </c>
    </row>
    <row r="21" spans="1:13" x14ac:dyDescent="0.3">
      <c r="A21" s="4" t="s">
        <v>8</v>
      </c>
      <c r="B21" s="4">
        <v>13.94</v>
      </c>
      <c r="C21" s="4">
        <v>49</v>
      </c>
      <c r="D21" s="4">
        <v>24</v>
      </c>
      <c r="E21" s="4">
        <v>25</v>
      </c>
      <c r="G21" s="1"/>
      <c r="I21" s="4" t="s">
        <v>8</v>
      </c>
      <c r="J21" s="4">
        <v>-673.89</v>
      </c>
      <c r="K21" s="4">
        <v>38</v>
      </c>
      <c r="L21" s="4">
        <v>18</v>
      </c>
      <c r="M21" s="4">
        <v>20</v>
      </c>
    </row>
    <row r="22" spans="1:13" x14ac:dyDescent="0.3">
      <c r="A22" s="4" t="s">
        <v>9</v>
      </c>
      <c r="B22" s="4">
        <v>-390.44</v>
      </c>
      <c r="C22" s="4">
        <v>38</v>
      </c>
      <c r="D22" s="4">
        <v>15</v>
      </c>
      <c r="E22" s="4">
        <v>22</v>
      </c>
      <c r="G22" s="1"/>
      <c r="I22" s="4" t="s">
        <v>9</v>
      </c>
      <c r="J22" s="4">
        <v>192.25</v>
      </c>
      <c r="K22" s="4">
        <v>34</v>
      </c>
      <c r="L22" s="4">
        <v>17</v>
      </c>
      <c r="M22" s="4">
        <v>17</v>
      </c>
    </row>
    <row r="23" spans="1:13" x14ac:dyDescent="0.3">
      <c r="A23" s="4" t="s">
        <v>10</v>
      </c>
      <c r="B23" s="4">
        <v>-827.79</v>
      </c>
      <c r="C23" s="4">
        <v>45</v>
      </c>
      <c r="D23" s="4">
        <v>18</v>
      </c>
      <c r="E23" s="4">
        <v>27</v>
      </c>
      <c r="G23" s="1"/>
      <c r="I23" s="4" t="s">
        <v>10</v>
      </c>
      <c r="J23" s="4">
        <v>-210.8</v>
      </c>
      <c r="K23" s="4">
        <v>39</v>
      </c>
      <c r="L23" s="4">
        <v>17</v>
      </c>
      <c r="M23" s="4">
        <v>22</v>
      </c>
    </row>
    <row r="24" spans="1:13" x14ac:dyDescent="0.3">
      <c r="A24" s="4" t="s">
        <v>11</v>
      </c>
      <c r="B24" s="4">
        <v>-174.56</v>
      </c>
      <c r="C24" s="4">
        <v>40</v>
      </c>
      <c r="D24" s="4">
        <v>18</v>
      </c>
      <c r="E24" s="4">
        <v>22</v>
      </c>
      <c r="G24" s="1"/>
      <c r="I24" s="4" t="s">
        <v>11</v>
      </c>
      <c r="J24" s="4">
        <v>583.76</v>
      </c>
      <c r="K24" s="4">
        <v>35</v>
      </c>
      <c r="L24" s="4">
        <v>16</v>
      </c>
      <c r="M24" s="4">
        <v>19</v>
      </c>
    </row>
    <row r="25" spans="1:13" x14ac:dyDescent="0.3">
      <c r="A25" s="4" t="s">
        <v>12</v>
      </c>
      <c r="B25" s="4">
        <v>170.8</v>
      </c>
      <c r="C25" s="4">
        <v>43</v>
      </c>
      <c r="D25" s="4">
        <v>19</v>
      </c>
      <c r="E25" s="4">
        <v>24</v>
      </c>
      <c r="G25" s="1"/>
      <c r="I25" s="4" t="s">
        <v>12</v>
      </c>
      <c r="J25" s="4">
        <v>-460.3</v>
      </c>
      <c r="K25" s="4">
        <v>31</v>
      </c>
      <c r="L25" s="4">
        <v>13</v>
      </c>
      <c r="M25" s="4">
        <v>18</v>
      </c>
    </row>
    <row r="26" spans="1:13" x14ac:dyDescent="0.3">
      <c r="A26" s="4" t="s">
        <v>13</v>
      </c>
      <c r="B26" s="4">
        <v>-2383.6999999999998</v>
      </c>
      <c r="C26" s="4">
        <v>51</v>
      </c>
      <c r="D26" s="4">
        <v>16</v>
      </c>
      <c r="E26" s="4">
        <v>35</v>
      </c>
      <c r="G26" s="1"/>
      <c r="I26" s="4" t="s">
        <v>13</v>
      </c>
      <c r="J26" s="4">
        <v>1874.86</v>
      </c>
      <c r="K26" s="4">
        <v>31</v>
      </c>
      <c r="L26" s="4">
        <v>19</v>
      </c>
      <c r="M26" s="4">
        <v>12</v>
      </c>
    </row>
    <row r="27" spans="1:13" x14ac:dyDescent="0.3">
      <c r="A27" s="4" t="s">
        <v>14</v>
      </c>
      <c r="B27" s="4">
        <v>-1013.79</v>
      </c>
      <c r="C27" s="4">
        <v>54</v>
      </c>
      <c r="D27" s="4">
        <v>16</v>
      </c>
      <c r="E27" s="4">
        <v>38</v>
      </c>
      <c r="G27" s="1"/>
      <c r="I27" s="4" t="s">
        <v>14</v>
      </c>
      <c r="J27" s="4">
        <v>-1750.95</v>
      </c>
      <c r="K27" s="4">
        <v>44</v>
      </c>
      <c r="L27" s="4">
        <v>18</v>
      </c>
      <c r="M27" s="4">
        <v>26</v>
      </c>
    </row>
    <row r="28" spans="1:13" x14ac:dyDescent="0.3">
      <c r="A28" s="4" t="s">
        <v>15</v>
      </c>
      <c r="B28" s="4">
        <v>-1513.93</v>
      </c>
      <c r="C28" s="4">
        <v>49</v>
      </c>
      <c r="D28" s="4">
        <v>15</v>
      </c>
      <c r="E28" s="4">
        <v>34</v>
      </c>
      <c r="G28" s="1"/>
      <c r="I28" s="4" t="s">
        <v>15</v>
      </c>
      <c r="J28" s="4">
        <v>4762.93</v>
      </c>
      <c r="K28" s="4">
        <v>45</v>
      </c>
      <c r="L28" s="4">
        <v>28</v>
      </c>
      <c r="M28" s="4">
        <v>17</v>
      </c>
    </row>
    <row r="29" spans="1:13" x14ac:dyDescent="0.3">
      <c r="A29" s="4" t="s">
        <v>16</v>
      </c>
      <c r="B29" s="4">
        <v>-2550.04</v>
      </c>
      <c r="C29" s="4">
        <v>63</v>
      </c>
      <c r="D29" s="4">
        <v>16</v>
      </c>
      <c r="E29" s="4">
        <v>47</v>
      </c>
      <c r="G29" s="1"/>
      <c r="I29" s="4" t="s">
        <v>16</v>
      </c>
      <c r="J29" s="4">
        <v>-427.26</v>
      </c>
      <c r="K29" s="4">
        <v>50</v>
      </c>
      <c r="L29" s="4">
        <v>22</v>
      </c>
      <c r="M29" s="4">
        <v>28</v>
      </c>
    </row>
    <row r="30" spans="1:13" x14ac:dyDescent="0.3">
      <c r="A30" s="4" t="s">
        <v>17</v>
      </c>
      <c r="B30" s="4">
        <v>-3412.47</v>
      </c>
      <c r="C30" s="4">
        <v>58</v>
      </c>
      <c r="D30" s="4">
        <v>17</v>
      </c>
      <c r="E30" s="4">
        <v>41</v>
      </c>
      <c r="G30" s="1"/>
      <c r="I30" s="4" t="s">
        <v>17</v>
      </c>
      <c r="J30" s="4">
        <v>443.63</v>
      </c>
      <c r="K30" s="4">
        <v>44</v>
      </c>
      <c r="L30" s="4">
        <v>19</v>
      </c>
      <c r="M30" s="4">
        <v>25</v>
      </c>
    </row>
    <row r="31" spans="1:13" x14ac:dyDescent="0.3">
      <c r="A31" s="24" t="s">
        <v>23</v>
      </c>
      <c r="B31" s="24"/>
      <c r="C31" s="7">
        <f>SUM(C21:C30)</f>
        <v>490</v>
      </c>
      <c r="D31" s="7">
        <f>SUM(D21:D30)</f>
        <v>174</v>
      </c>
      <c r="E31" s="7">
        <f>SUM(E21:E30)</f>
        <v>315</v>
      </c>
      <c r="G31" s="1"/>
      <c r="I31" s="24" t="s">
        <v>23</v>
      </c>
      <c r="J31" s="24"/>
      <c r="K31" s="7">
        <f>SUM(K21:K30)</f>
        <v>391</v>
      </c>
      <c r="L31" s="7">
        <f>SUM(L21:L30)</f>
        <v>187</v>
      </c>
      <c r="M31" s="7">
        <f>SUM(M21:M30)</f>
        <v>204</v>
      </c>
    </row>
    <row r="32" spans="1:13" x14ac:dyDescent="0.3">
      <c r="G32" s="1"/>
    </row>
    <row r="33" spans="1:13" x14ac:dyDescent="0.3">
      <c r="A33" s="26" t="s">
        <v>19</v>
      </c>
      <c r="B33" s="26"/>
      <c r="C33" s="26"/>
      <c r="D33" s="26"/>
      <c r="E33" s="26"/>
      <c r="G33" s="1"/>
      <c r="I33" s="27" t="s">
        <v>19</v>
      </c>
      <c r="J33" s="27"/>
      <c r="K33" s="27"/>
      <c r="L33" s="27"/>
      <c r="M33" s="27"/>
    </row>
    <row r="34" spans="1:13" x14ac:dyDescent="0.3">
      <c r="A34" s="3" t="s">
        <v>3</v>
      </c>
      <c r="B34" s="3" t="s">
        <v>4</v>
      </c>
      <c r="C34" s="3" t="s">
        <v>5</v>
      </c>
      <c r="D34" s="3" t="s">
        <v>6</v>
      </c>
      <c r="E34" s="3" t="s">
        <v>7</v>
      </c>
      <c r="G34" s="1"/>
      <c r="I34" s="3" t="s">
        <v>3</v>
      </c>
      <c r="J34" s="3" t="s">
        <v>4</v>
      </c>
      <c r="K34" s="3" t="s">
        <v>5</v>
      </c>
      <c r="L34" s="3" t="s">
        <v>6</v>
      </c>
      <c r="M34" s="3" t="s">
        <v>7</v>
      </c>
    </row>
    <row r="35" spans="1:13" x14ac:dyDescent="0.3">
      <c r="A35" s="4" t="s">
        <v>8</v>
      </c>
      <c r="B35" s="4">
        <v>-45.59</v>
      </c>
      <c r="C35" s="4">
        <v>41</v>
      </c>
      <c r="D35" s="4">
        <v>19</v>
      </c>
      <c r="E35" s="4">
        <v>22</v>
      </c>
      <c r="G35" s="1"/>
      <c r="I35" s="4" t="s">
        <v>8</v>
      </c>
      <c r="J35" s="4">
        <v>7.99</v>
      </c>
      <c r="K35" s="4">
        <v>34</v>
      </c>
      <c r="L35" s="4">
        <v>18</v>
      </c>
      <c r="M35" s="4">
        <v>16</v>
      </c>
    </row>
    <row r="36" spans="1:13" x14ac:dyDescent="0.3">
      <c r="A36" s="4" t="s">
        <v>9</v>
      </c>
      <c r="B36" s="4">
        <v>-597.57000000000005</v>
      </c>
      <c r="C36" s="4">
        <v>35</v>
      </c>
      <c r="D36" s="4">
        <v>15</v>
      </c>
      <c r="E36" s="4">
        <v>20</v>
      </c>
      <c r="G36" s="1"/>
      <c r="I36" s="4" t="s">
        <v>9</v>
      </c>
      <c r="J36" s="4">
        <v>1582.51</v>
      </c>
      <c r="K36" s="4">
        <v>31</v>
      </c>
      <c r="L36" s="4">
        <v>19</v>
      </c>
      <c r="M36" s="4">
        <v>12</v>
      </c>
    </row>
    <row r="37" spans="1:13" x14ac:dyDescent="0.3">
      <c r="A37" s="4" t="s">
        <v>10</v>
      </c>
      <c r="B37" s="4">
        <v>-615.6</v>
      </c>
      <c r="C37" s="4">
        <v>39</v>
      </c>
      <c r="D37" s="4">
        <v>17</v>
      </c>
      <c r="E37" s="4">
        <v>22</v>
      </c>
      <c r="G37" s="1"/>
      <c r="I37" s="4" t="s">
        <v>10</v>
      </c>
      <c r="J37" s="4">
        <v>-831.1</v>
      </c>
      <c r="K37" s="4">
        <v>38</v>
      </c>
      <c r="L37" s="4">
        <v>15</v>
      </c>
      <c r="M37" s="4">
        <v>23</v>
      </c>
    </row>
    <row r="38" spans="1:13" x14ac:dyDescent="0.3">
      <c r="A38" s="4" t="s">
        <v>11</v>
      </c>
      <c r="B38" s="4">
        <v>-1397.76</v>
      </c>
      <c r="C38" s="4">
        <v>44</v>
      </c>
      <c r="D38" s="4">
        <v>17</v>
      </c>
      <c r="E38" s="4">
        <v>27</v>
      </c>
      <c r="G38" s="1"/>
      <c r="I38" s="4" t="s">
        <v>11</v>
      </c>
      <c r="J38" s="4">
        <v>1408.43</v>
      </c>
      <c r="K38" s="4">
        <v>38</v>
      </c>
      <c r="L38" s="4">
        <v>18</v>
      </c>
      <c r="M38" s="4">
        <v>20</v>
      </c>
    </row>
    <row r="39" spans="1:13" x14ac:dyDescent="0.3">
      <c r="A39" s="4" t="s">
        <v>12</v>
      </c>
      <c r="B39" s="4">
        <v>1558.35</v>
      </c>
      <c r="C39" s="4">
        <v>38</v>
      </c>
      <c r="D39" s="4">
        <v>20</v>
      </c>
      <c r="E39" s="4">
        <v>18</v>
      </c>
      <c r="G39" s="1"/>
      <c r="I39" s="4" t="s">
        <v>12</v>
      </c>
      <c r="J39" s="4">
        <v>237.54</v>
      </c>
      <c r="K39" s="4">
        <v>32</v>
      </c>
      <c r="L39" s="4">
        <v>14</v>
      </c>
      <c r="M39" s="4">
        <v>18</v>
      </c>
    </row>
    <row r="40" spans="1:13" x14ac:dyDescent="0.3">
      <c r="A40" s="4" t="s">
        <v>13</v>
      </c>
      <c r="B40" s="4">
        <v>-1828.16</v>
      </c>
      <c r="C40" s="4">
        <v>35</v>
      </c>
      <c r="D40" s="4">
        <v>11</v>
      </c>
      <c r="E40" s="4">
        <v>24</v>
      </c>
      <c r="G40" s="1"/>
      <c r="I40" s="4" t="s">
        <v>13</v>
      </c>
      <c r="J40" s="4">
        <v>2447.0300000000002</v>
      </c>
      <c r="K40" s="4">
        <v>28</v>
      </c>
      <c r="L40" s="4">
        <v>20</v>
      </c>
      <c r="M40" s="4">
        <v>8</v>
      </c>
    </row>
    <row r="41" spans="1:13" x14ac:dyDescent="0.3">
      <c r="A41" s="4" t="s">
        <v>14</v>
      </c>
      <c r="B41" s="4">
        <v>-1328.14</v>
      </c>
      <c r="C41" s="4">
        <v>47</v>
      </c>
      <c r="D41" s="4">
        <v>15</v>
      </c>
      <c r="E41" s="4">
        <v>31</v>
      </c>
      <c r="G41" s="1"/>
      <c r="I41" s="4" t="s">
        <v>14</v>
      </c>
      <c r="J41" s="4">
        <v>2077.44</v>
      </c>
      <c r="K41" s="4">
        <v>39</v>
      </c>
      <c r="L41" s="4">
        <v>23</v>
      </c>
      <c r="M41" s="4">
        <v>16</v>
      </c>
    </row>
    <row r="42" spans="1:13" x14ac:dyDescent="0.3">
      <c r="A42" s="4" t="s">
        <v>15</v>
      </c>
      <c r="B42" s="4">
        <v>-1725.3</v>
      </c>
      <c r="C42" s="4">
        <v>41</v>
      </c>
      <c r="D42" s="4">
        <v>12</v>
      </c>
      <c r="E42" s="4">
        <v>29</v>
      </c>
      <c r="G42" s="1"/>
      <c r="I42" s="4" t="s">
        <v>15</v>
      </c>
      <c r="J42" s="4">
        <v>1411.28</v>
      </c>
      <c r="K42" s="4">
        <v>35</v>
      </c>
      <c r="L42" s="4">
        <v>21</v>
      </c>
      <c r="M42" s="4">
        <v>14</v>
      </c>
    </row>
    <row r="43" spans="1:13" x14ac:dyDescent="0.3">
      <c r="A43" s="4" t="s">
        <v>16</v>
      </c>
      <c r="B43" s="4">
        <v>-2791.83</v>
      </c>
      <c r="C43" s="4">
        <v>39</v>
      </c>
      <c r="D43" s="4">
        <v>10</v>
      </c>
      <c r="E43" s="4">
        <v>29</v>
      </c>
      <c r="G43" s="1"/>
      <c r="I43" s="4" t="s">
        <v>16</v>
      </c>
      <c r="J43" s="4">
        <v>615.44000000000005</v>
      </c>
      <c r="K43" s="4">
        <v>31</v>
      </c>
      <c r="L43" s="4">
        <v>15</v>
      </c>
      <c r="M43" s="4">
        <v>16</v>
      </c>
    </row>
    <row r="44" spans="1:13" x14ac:dyDescent="0.3">
      <c r="A44" s="4" t="s">
        <v>17</v>
      </c>
      <c r="B44" s="4">
        <v>-2455.27</v>
      </c>
      <c r="C44" s="4">
        <v>53</v>
      </c>
      <c r="D44" s="4">
        <v>17</v>
      </c>
      <c r="E44" s="4">
        <v>35</v>
      </c>
      <c r="G44" s="1"/>
      <c r="I44" s="4" t="s">
        <v>17</v>
      </c>
      <c r="J44" s="4">
        <v>-314.95</v>
      </c>
      <c r="K44" s="4">
        <v>40</v>
      </c>
      <c r="L44" s="4">
        <v>16</v>
      </c>
      <c r="M44" s="4">
        <v>24</v>
      </c>
    </row>
    <row r="45" spans="1:13" x14ac:dyDescent="0.3">
      <c r="A45" s="24" t="s">
        <v>23</v>
      </c>
      <c r="B45" s="24"/>
      <c r="C45" s="7">
        <f>SUM(C35:C44)</f>
        <v>412</v>
      </c>
      <c r="D45" s="7">
        <f>SUM(D35:D44)</f>
        <v>153</v>
      </c>
      <c r="E45" s="7">
        <f>SUM(E35:E44)</f>
        <v>257</v>
      </c>
      <c r="G45" s="1"/>
      <c r="I45" s="24" t="s">
        <v>23</v>
      </c>
      <c r="J45" s="24"/>
      <c r="K45" s="7">
        <f>SUM(K35:K44)</f>
        <v>346</v>
      </c>
      <c r="L45" s="7">
        <f>SUM(L35:L44)</f>
        <v>179</v>
      </c>
      <c r="M45" s="7">
        <f>SUM(M35:M44)</f>
        <v>167</v>
      </c>
    </row>
    <row r="46" spans="1:13" x14ac:dyDescent="0.3">
      <c r="G46" s="1"/>
    </row>
    <row r="47" spans="1:13" x14ac:dyDescent="0.3">
      <c r="A47" s="26" t="s">
        <v>20</v>
      </c>
      <c r="B47" s="26"/>
      <c r="C47" s="26"/>
      <c r="D47" s="26"/>
      <c r="E47" s="26"/>
      <c r="G47" s="1"/>
      <c r="I47" s="26" t="s">
        <v>20</v>
      </c>
      <c r="J47" s="26"/>
      <c r="K47" s="26"/>
      <c r="L47" s="26"/>
      <c r="M47" s="26"/>
    </row>
    <row r="48" spans="1:13" x14ac:dyDescent="0.3">
      <c r="A48" s="3" t="s">
        <v>3</v>
      </c>
      <c r="B48" s="3" t="s">
        <v>4</v>
      </c>
      <c r="C48" s="3" t="s">
        <v>5</v>
      </c>
      <c r="D48" s="3" t="s">
        <v>6</v>
      </c>
      <c r="E48" s="3" t="s">
        <v>7</v>
      </c>
      <c r="G48" s="1"/>
      <c r="I48" s="3" t="s">
        <v>3</v>
      </c>
      <c r="J48" s="3" t="s">
        <v>4</v>
      </c>
      <c r="K48" s="3" t="s">
        <v>5</v>
      </c>
      <c r="L48" s="3" t="s">
        <v>6</v>
      </c>
      <c r="M48" s="3" t="s">
        <v>7</v>
      </c>
    </row>
    <row r="49" spans="1:13" x14ac:dyDescent="0.3">
      <c r="A49" s="4" t="s">
        <v>8</v>
      </c>
      <c r="B49" s="4">
        <v>1783.9</v>
      </c>
      <c r="C49" s="4">
        <v>38</v>
      </c>
      <c r="D49" s="4">
        <v>21</v>
      </c>
      <c r="E49" s="4">
        <v>17</v>
      </c>
      <c r="G49" s="1"/>
      <c r="I49" s="4" t="s">
        <v>8</v>
      </c>
      <c r="J49" s="4">
        <v>859.69</v>
      </c>
      <c r="K49" s="4">
        <v>32</v>
      </c>
      <c r="L49" s="4">
        <v>14</v>
      </c>
      <c r="M49" s="4">
        <v>18</v>
      </c>
    </row>
    <row r="50" spans="1:13" x14ac:dyDescent="0.3">
      <c r="A50" s="4" t="s">
        <v>9</v>
      </c>
      <c r="B50" s="4">
        <v>755.07</v>
      </c>
      <c r="C50" s="4">
        <v>36</v>
      </c>
      <c r="D50" s="4">
        <v>18</v>
      </c>
      <c r="E50" s="4">
        <v>18</v>
      </c>
      <c r="G50" s="1"/>
      <c r="I50" s="4" t="s">
        <v>9</v>
      </c>
      <c r="J50" s="4">
        <v>502.14</v>
      </c>
      <c r="K50" s="4">
        <v>29</v>
      </c>
      <c r="L50" s="4">
        <v>14</v>
      </c>
      <c r="M50" s="4">
        <v>15</v>
      </c>
    </row>
    <row r="51" spans="1:13" x14ac:dyDescent="0.3">
      <c r="A51" s="4" t="s">
        <v>10</v>
      </c>
      <c r="B51" s="4">
        <v>-235.29</v>
      </c>
      <c r="C51" s="4">
        <v>43</v>
      </c>
      <c r="D51" s="4">
        <v>17</v>
      </c>
      <c r="E51" s="4">
        <v>26</v>
      </c>
      <c r="G51" s="1"/>
      <c r="I51" s="4" t="s">
        <v>10</v>
      </c>
      <c r="J51" s="4">
        <v>-1390.85</v>
      </c>
      <c r="K51" s="4">
        <v>36</v>
      </c>
      <c r="L51" s="4">
        <v>13</v>
      </c>
      <c r="M51" s="4">
        <v>23</v>
      </c>
    </row>
    <row r="52" spans="1:13" x14ac:dyDescent="0.3">
      <c r="A52" s="4" t="s">
        <v>11</v>
      </c>
      <c r="B52" s="4">
        <v>810.88</v>
      </c>
      <c r="C52" s="4">
        <v>48</v>
      </c>
      <c r="D52" s="4">
        <v>19</v>
      </c>
      <c r="E52" s="4">
        <v>29</v>
      </c>
      <c r="G52" s="1"/>
      <c r="I52" s="4" t="s">
        <v>11</v>
      </c>
      <c r="J52" s="4">
        <v>613.20000000000005</v>
      </c>
      <c r="K52" s="4">
        <v>41</v>
      </c>
      <c r="L52" s="4">
        <v>17</v>
      </c>
      <c r="M52" s="4">
        <v>24</v>
      </c>
    </row>
    <row r="53" spans="1:13" x14ac:dyDescent="0.3">
      <c r="A53" s="4" t="s">
        <v>12</v>
      </c>
      <c r="B53" s="4">
        <v>1532.75</v>
      </c>
      <c r="C53" s="4">
        <v>37</v>
      </c>
      <c r="D53" s="4">
        <v>19</v>
      </c>
      <c r="E53" s="4">
        <v>18</v>
      </c>
      <c r="G53" s="1"/>
      <c r="I53" s="4" t="s">
        <v>12</v>
      </c>
      <c r="J53" s="4">
        <v>195.09</v>
      </c>
      <c r="K53" s="4">
        <v>36</v>
      </c>
      <c r="L53" s="4">
        <v>15</v>
      </c>
      <c r="M53" s="4">
        <v>21</v>
      </c>
    </row>
    <row r="54" spans="1:13" x14ac:dyDescent="0.3">
      <c r="A54" s="4" t="s">
        <v>13</v>
      </c>
      <c r="B54" s="4">
        <v>406.01</v>
      </c>
      <c r="C54" s="4">
        <v>35</v>
      </c>
      <c r="D54" s="4">
        <v>16</v>
      </c>
      <c r="E54" s="4">
        <v>19</v>
      </c>
      <c r="G54" s="1"/>
      <c r="I54" s="4" t="s">
        <v>13</v>
      </c>
      <c r="J54" s="4">
        <v>543.97</v>
      </c>
      <c r="K54" s="4">
        <v>24</v>
      </c>
      <c r="L54" s="4">
        <v>12</v>
      </c>
      <c r="M54" s="4">
        <v>12</v>
      </c>
    </row>
    <row r="55" spans="1:13" x14ac:dyDescent="0.3">
      <c r="A55" s="4" t="s">
        <v>14</v>
      </c>
      <c r="B55" s="4">
        <v>1855.7</v>
      </c>
      <c r="C55" s="4">
        <v>42</v>
      </c>
      <c r="D55" s="4">
        <v>22</v>
      </c>
      <c r="E55" s="4">
        <v>20</v>
      </c>
      <c r="G55" s="1"/>
      <c r="I55" s="4" t="s">
        <v>14</v>
      </c>
      <c r="J55" s="4">
        <v>1190.69</v>
      </c>
      <c r="K55" s="4">
        <v>40</v>
      </c>
      <c r="L55" s="4">
        <v>19</v>
      </c>
      <c r="M55" s="4">
        <v>21</v>
      </c>
    </row>
    <row r="56" spans="1:13" x14ac:dyDescent="0.3">
      <c r="A56" s="4" t="s">
        <v>15</v>
      </c>
      <c r="B56" s="4">
        <v>-562.25</v>
      </c>
      <c r="C56" s="4">
        <v>44</v>
      </c>
      <c r="D56" s="4">
        <v>14</v>
      </c>
      <c r="E56" s="4">
        <v>30</v>
      </c>
      <c r="G56" s="1"/>
      <c r="I56" s="4" t="s">
        <v>15</v>
      </c>
      <c r="J56" s="4">
        <v>-541.25</v>
      </c>
      <c r="K56" s="4">
        <v>42</v>
      </c>
      <c r="L56" s="4">
        <v>15</v>
      </c>
      <c r="M56" s="4">
        <v>27</v>
      </c>
    </row>
    <row r="57" spans="1:13" x14ac:dyDescent="0.3">
      <c r="A57" s="4" t="s">
        <v>16</v>
      </c>
      <c r="B57" s="4">
        <v>-991.08</v>
      </c>
      <c r="C57" s="4">
        <v>45</v>
      </c>
      <c r="D57" s="4">
        <v>16</v>
      </c>
      <c r="E57" s="4">
        <v>29</v>
      </c>
      <c r="G57" s="1"/>
      <c r="I57" s="4" t="s">
        <v>16</v>
      </c>
      <c r="J57" s="4">
        <v>2436.6</v>
      </c>
      <c r="K57" s="4">
        <v>38</v>
      </c>
      <c r="L57" s="4">
        <v>18</v>
      </c>
      <c r="M57" s="4">
        <v>20</v>
      </c>
    </row>
    <row r="58" spans="1:13" x14ac:dyDescent="0.3">
      <c r="A58" s="4" t="s">
        <v>17</v>
      </c>
      <c r="B58" s="4">
        <v>901.91</v>
      </c>
      <c r="C58" s="4">
        <v>52</v>
      </c>
      <c r="D58" s="4">
        <v>22</v>
      </c>
      <c r="E58" s="4">
        <v>30</v>
      </c>
      <c r="G58" s="1"/>
      <c r="I58" s="4" t="s">
        <v>17</v>
      </c>
      <c r="J58" s="4">
        <v>-314.27</v>
      </c>
      <c r="K58" s="4">
        <v>42</v>
      </c>
      <c r="L58" s="4">
        <v>15</v>
      </c>
      <c r="M58" s="4">
        <v>27</v>
      </c>
    </row>
    <row r="59" spans="1:13" x14ac:dyDescent="0.3">
      <c r="A59" s="24" t="s">
        <v>23</v>
      </c>
      <c r="B59" s="24"/>
      <c r="C59" s="7">
        <f>SUM(C49:C58)</f>
        <v>420</v>
      </c>
      <c r="D59" s="7">
        <f>SUM(D49:D58)</f>
        <v>184</v>
      </c>
      <c r="E59" s="7">
        <f>SUM(E49:E58)</f>
        <v>236</v>
      </c>
      <c r="I59" s="24" t="s">
        <v>23</v>
      </c>
      <c r="J59" s="24"/>
      <c r="K59" s="7">
        <f>SUM(K49:K58)</f>
        <v>360</v>
      </c>
      <c r="L59" s="7">
        <f>SUM(L49:L58)</f>
        <v>152</v>
      </c>
      <c r="M59" s="7">
        <f>SUM(M49:M58)</f>
        <v>208</v>
      </c>
    </row>
    <row r="61" spans="1:13" x14ac:dyDescent="0.3">
      <c r="A61" s="25" t="s">
        <v>22</v>
      </c>
      <c r="B61" s="25"/>
      <c r="C61" s="8">
        <f>C59+C45+C31+C17</f>
        <v>1741</v>
      </c>
      <c r="D61" s="8">
        <f t="shared" ref="D61:E61" si="0">D59+D45+D31+D17</f>
        <v>678</v>
      </c>
      <c r="E61" s="8">
        <f t="shared" si="0"/>
        <v>1059</v>
      </c>
      <c r="I61" s="25" t="s">
        <v>31</v>
      </c>
      <c r="J61" s="25"/>
      <c r="K61" s="8">
        <f>K59+K45+K31+K17</f>
        <v>1407</v>
      </c>
      <c r="L61" s="8">
        <f t="shared" ref="L61:M61" si="1">L59+L45+L31+L17</f>
        <v>661</v>
      </c>
      <c r="M61" s="8">
        <f t="shared" si="1"/>
        <v>755</v>
      </c>
    </row>
    <row r="65" spans="3:10" x14ac:dyDescent="0.3">
      <c r="E65" s="23" t="s">
        <v>35</v>
      </c>
      <c r="F65" s="23"/>
      <c r="I65" s="23" t="s">
        <v>37</v>
      </c>
      <c r="J65" s="23"/>
    </row>
    <row r="66" spans="3:10" x14ac:dyDescent="0.3">
      <c r="C66" s="5"/>
      <c r="E66" s="10" t="s">
        <v>32</v>
      </c>
      <c r="F66" s="10">
        <f>C61+K61</f>
        <v>3148</v>
      </c>
      <c r="I66" s="10" t="s">
        <v>36</v>
      </c>
      <c r="J66" s="11">
        <f>F67/F66</f>
        <v>0.42534942820838628</v>
      </c>
    </row>
    <row r="67" spans="3:10" x14ac:dyDescent="0.3">
      <c r="C67" s="5"/>
      <c r="E67" s="10" t="s">
        <v>33</v>
      </c>
      <c r="F67" s="10">
        <f>D61+L61</f>
        <v>1339</v>
      </c>
      <c r="I67" s="10" t="s">
        <v>34</v>
      </c>
      <c r="J67" s="11">
        <f>F68/F66</f>
        <v>0.57623888182973315</v>
      </c>
    </row>
    <row r="68" spans="3:10" x14ac:dyDescent="0.3">
      <c r="C68" s="6"/>
      <c r="E68" s="10" t="s">
        <v>34</v>
      </c>
      <c r="F68" s="10">
        <f>E61+M61</f>
        <v>1814</v>
      </c>
    </row>
  </sheetData>
  <mergeCells count="23">
    <mergeCell ref="A33:E33"/>
    <mergeCell ref="I33:M33"/>
    <mergeCell ref="A47:E47"/>
    <mergeCell ref="I47:M47"/>
    <mergeCell ref="A1:M1"/>
    <mergeCell ref="A3:E3"/>
    <mergeCell ref="I3:M3"/>
    <mergeCell ref="A5:E5"/>
    <mergeCell ref="I5:M5"/>
    <mergeCell ref="A19:E19"/>
    <mergeCell ref="I19:M19"/>
    <mergeCell ref="A17:B17"/>
    <mergeCell ref="I17:J17"/>
    <mergeCell ref="I31:J31"/>
    <mergeCell ref="A31:B31"/>
    <mergeCell ref="A45:B45"/>
    <mergeCell ref="E65:F65"/>
    <mergeCell ref="I65:J65"/>
    <mergeCell ref="I45:J45"/>
    <mergeCell ref="A59:B59"/>
    <mergeCell ref="I59:J59"/>
    <mergeCell ref="A61:B61"/>
    <mergeCell ref="I61:J6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859EA-8C0D-4216-B22C-211179551119}">
  <dimension ref="A1:N24"/>
  <sheetViews>
    <sheetView zoomScale="109" workbookViewId="0">
      <selection activeCell="J11" sqref="J11"/>
    </sheetView>
  </sheetViews>
  <sheetFormatPr defaultRowHeight="14.4" x14ac:dyDescent="0.3"/>
  <cols>
    <col min="2" max="2" width="22.44140625" bestFit="1" customWidth="1"/>
    <col min="3" max="3" width="16" bestFit="1" customWidth="1"/>
    <col min="4" max="4" width="16.44140625" bestFit="1" customWidth="1"/>
    <col min="5" max="5" width="7.77734375" bestFit="1" customWidth="1"/>
  </cols>
  <sheetData>
    <row r="1" spans="1:14" ht="18" x14ac:dyDescent="0.35">
      <c r="A1" s="28" t="s">
        <v>39</v>
      </c>
      <c r="B1" s="28"/>
      <c r="C1" s="28"/>
      <c r="D1" s="28"/>
      <c r="E1" s="28"/>
      <c r="F1" s="28"/>
      <c r="G1" s="13"/>
      <c r="H1" s="13"/>
      <c r="I1" s="13"/>
      <c r="J1" s="13"/>
      <c r="K1" s="13"/>
      <c r="L1" s="13"/>
      <c r="M1" s="13"/>
      <c r="N1" s="13"/>
    </row>
    <row r="3" spans="1:14" x14ac:dyDescent="0.3">
      <c r="A3" s="3" t="s">
        <v>44</v>
      </c>
      <c r="B3" s="3" t="s">
        <v>40</v>
      </c>
      <c r="C3" s="3" t="s">
        <v>41</v>
      </c>
      <c r="D3" s="3" t="s">
        <v>42</v>
      </c>
      <c r="E3" s="3" t="s">
        <v>43</v>
      </c>
    </row>
    <row r="4" spans="1:14" x14ac:dyDescent="0.3">
      <c r="A4" s="4">
        <v>1</v>
      </c>
      <c r="B4" s="4" t="s">
        <v>45</v>
      </c>
      <c r="C4" s="12">
        <f>'1.Super Trend'!J66</f>
        <v>0.43159041394335512</v>
      </c>
      <c r="D4" s="12">
        <f>'1.Super Trend'!J67</f>
        <v>0.56840958605664493</v>
      </c>
      <c r="E4" s="4">
        <v>4</v>
      </c>
    </row>
    <row r="5" spans="1:14" x14ac:dyDescent="0.3">
      <c r="A5" s="4">
        <v>2</v>
      </c>
      <c r="B5" s="4" t="s">
        <v>46</v>
      </c>
      <c r="C5" s="12">
        <f>'2.RSI'!J66</f>
        <v>0.42134681927069473</v>
      </c>
      <c r="D5" s="12">
        <f>'2.RSI'!J67</f>
        <v>0.58583976577056163</v>
      </c>
      <c r="E5" s="4">
        <v>8</v>
      </c>
    </row>
    <row r="6" spans="1:14" x14ac:dyDescent="0.3">
      <c r="A6" s="4">
        <v>3</v>
      </c>
      <c r="B6" s="9" t="s">
        <v>47</v>
      </c>
      <c r="C6" s="12">
        <f>'3. Fibonacci MA'!J66</f>
        <v>0.45681953543776055</v>
      </c>
      <c r="D6" s="12">
        <f>'3. Fibonacci MA'!J67</f>
        <v>0.54318046456223945</v>
      </c>
      <c r="E6" s="9">
        <v>1</v>
      </c>
    </row>
    <row r="7" spans="1:14" x14ac:dyDescent="0.3">
      <c r="A7" s="4">
        <v>4</v>
      </c>
      <c r="B7" s="4" t="s">
        <v>48</v>
      </c>
      <c r="C7" s="12">
        <f>'4.VWAP'!J66</f>
        <v>0.36671748563386891</v>
      </c>
      <c r="D7" s="12">
        <f>'4.VWAP'!J67</f>
        <v>0.54368476603729332</v>
      </c>
      <c r="E7" s="4">
        <v>10</v>
      </c>
    </row>
    <row r="8" spans="1:14" x14ac:dyDescent="0.3">
      <c r="A8" s="4">
        <v>5</v>
      </c>
      <c r="B8" s="4" t="s">
        <v>49</v>
      </c>
      <c r="C8" s="12">
        <f>'5.MACD'!J66</f>
        <v>0.4310156534401165</v>
      </c>
      <c r="D8" s="12">
        <f>'5.MACD'!J67</f>
        <v>0.5689843465598835</v>
      </c>
      <c r="E8" s="4">
        <v>7</v>
      </c>
    </row>
    <row r="9" spans="1:14" x14ac:dyDescent="0.3">
      <c r="A9" s="4">
        <v>6</v>
      </c>
      <c r="B9" s="4" t="s">
        <v>50</v>
      </c>
      <c r="C9" s="12">
        <f>'6.Stochastic RSI'!J66</f>
        <v>0.4298750678978816</v>
      </c>
      <c r="D9" s="12">
        <f>'6.Stochastic RSI'!J67</f>
        <v>0.57620858229223249</v>
      </c>
      <c r="E9" s="4">
        <v>5</v>
      </c>
    </row>
    <row r="10" spans="1:14" x14ac:dyDescent="0.3">
      <c r="A10" s="4">
        <v>7</v>
      </c>
      <c r="B10" s="4" t="s">
        <v>51</v>
      </c>
      <c r="C10" s="12">
        <f>'7.Pivot Point Standard'!J66</f>
        <v>0.41772151898734178</v>
      </c>
      <c r="D10" s="12">
        <f>'7.Pivot Point Standard'!J67</f>
        <v>0.59697835851367909</v>
      </c>
      <c r="E10" s="4">
        <v>9</v>
      </c>
    </row>
    <row r="11" spans="1:14" x14ac:dyDescent="0.3">
      <c r="A11" s="4">
        <v>8</v>
      </c>
      <c r="B11" s="9" t="s">
        <v>52</v>
      </c>
      <c r="C11" s="12">
        <f>'8. Awesome Oscillator'!J66</f>
        <v>0.44371797137303409</v>
      </c>
      <c r="D11" s="12">
        <f>'8. Awesome Oscillator'!J67</f>
        <v>0.55628202862696585</v>
      </c>
      <c r="E11" s="9">
        <v>2</v>
      </c>
    </row>
    <row r="12" spans="1:14" x14ac:dyDescent="0.3">
      <c r="A12" s="4">
        <v>9</v>
      </c>
      <c r="B12" s="4" t="s">
        <v>53</v>
      </c>
      <c r="C12" s="12">
        <f>'9.Bollinger Bands'!J66</f>
        <v>0.4343190218936594</v>
      </c>
      <c r="D12" s="12">
        <f>'9.Bollinger Bands'!J67</f>
        <v>0.56568097810634066</v>
      </c>
      <c r="E12" s="4">
        <v>3</v>
      </c>
    </row>
    <row r="13" spans="1:14" x14ac:dyDescent="0.3">
      <c r="A13" s="4">
        <v>10</v>
      </c>
      <c r="B13" s="4" t="s">
        <v>54</v>
      </c>
      <c r="C13" s="12">
        <f>'10.CPR'!J66</f>
        <v>0.42534942820838628</v>
      </c>
      <c r="D13" s="12">
        <f>'10.CPR'!J67</f>
        <v>0.57623888182973315</v>
      </c>
      <c r="E13" s="4">
        <v>6</v>
      </c>
    </row>
    <row r="15" spans="1:14" x14ac:dyDescent="0.3">
      <c r="A15" s="30" t="s">
        <v>55</v>
      </c>
      <c r="B15" s="31"/>
      <c r="C15" s="31"/>
      <c r="D15" s="31"/>
      <c r="E15" s="31"/>
    </row>
    <row r="16" spans="1:14" x14ac:dyDescent="0.3">
      <c r="A16" s="31"/>
      <c r="B16" s="31"/>
      <c r="C16" s="31"/>
      <c r="D16" s="31"/>
      <c r="E16" s="31"/>
    </row>
    <row r="17" spans="1:5" x14ac:dyDescent="0.3">
      <c r="A17" s="31"/>
      <c r="B17" s="31"/>
      <c r="C17" s="31"/>
      <c r="D17" s="31"/>
      <c r="E17" s="31"/>
    </row>
    <row r="18" spans="1:5" x14ac:dyDescent="0.3">
      <c r="A18" s="31"/>
      <c r="B18" s="31"/>
      <c r="C18" s="31"/>
      <c r="D18" s="31"/>
      <c r="E18" s="31"/>
    </row>
    <row r="19" spans="1:5" x14ac:dyDescent="0.3">
      <c r="A19" s="31"/>
      <c r="B19" s="31"/>
      <c r="C19" s="31"/>
      <c r="D19" s="31"/>
      <c r="E19" s="31"/>
    </row>
    <row r="20" spans="1:5" x14ac:dyDescent="0.3">
      <c r="A20" s="31"/>
      <c r="B20" s="31"/>
      <c r="C20" s="31"/>
      <c r="D20" s="31"/>
      <c r="E20" s="31"/>
    </row>
    <row r="21" spans="1:5" x14ac:dyDescent="0.3">
      <c r="A21" s="31"/>
      <c r="B21" s="31"/>
      <c r="C21" s="31"/>
      <c r="D21" s="31"/>
      <c r="E21" s="31"/>
    </row>
    <row r="22" spans="1:5" x14ac:dyDescent="0.3">
      <c r="A22" s="31"/>
      <c r="B22" s="31"/>
      <c r="C22" s="31"/>
      <c r="D22" s="31"/>
      <c r="E22" s="31"/>
    </row>
    <row r="23" spans="1:5" x14ac:dyDescent="0.3">
      <c r="A23" s="31"/>
      <c r="B23" s="31"/>
      <c r="C23" s="31"/>
      <c r="D23" s="31"/>
      <c r="E23" s="31"/>
    </row>
    <row r="24" spans="1:5" x14ac:dyDescent="0.3">
      <c r="A24" s="31"/>
      <c r="B24" s="31"/>
      <c r="C24" s="31"/>
      <c r="D24" s="31"/>
      <c r="E24" s="31"/>
    </row>
  </sheetData>
  <mergeCells count="2">
    <mergeCell ref="A15:E24"/>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1.Super Trend</vt:lpstr>
      <vt:lpstr>2.RSI</vt:lpstr>
      <vt:lpstr>3. Fibonacci MA</vt:lpstr>
      <vt:lpstr>4.VWAP</vt:lpstr>
      <vt:lpstr>5.MACD</vt:lpstr>
      <vt:lpstr>6.Stochastic RSI</vt:lpstr>
      <vt:lpstr>7.Pivot Point Standard</vt:lpstr>
      <vt:lpstr>8. Awesome Oscillator</vt:lpstr>
      <vt:lpstr>9.Bollinger Bands</vt:lpstr>
      <vt:lpstr>10.CPR</vt:lpstr>
      <vt:lpstr>Ranking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Singla</dc:creator>
  <cp:lastModifiedBy>Aditi Singla</cp:lastModifiedBy>
  <dcterms:created xsi:type="dcterms:W3CDTF">2026-05-08T15:32:48Z</dcterms:created>
  <dcterms:modified xsi:type="dcterms:W3CDTF">2026-05-17T17:47:38Z</dcterms:modified>
</cp:coreProperties>
</file>