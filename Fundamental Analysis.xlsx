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GDM\CIP\Aditi\"/>
    </mc:Choice>
  </mc:AlternateContent>
  <xr:revisionPtr revIDLastSave="0" documentId="13_ncr:1_{AFC9394E-FB4B-4925-B3B5-8AAC773FB464}" xr6:coauthVersionLast="47" xr6:coauthVersionMax="47" xr10:uidLastSave="{00000000-0000-0000-0000-000000000000}"/>
  <bookViews>
    <workbookView xWindow="-108" yWindow="-108" windowWidth="23256" windowHeight="12456" xr2:uid="{759BB369-A86B-4115-B591-3BD4FD0B19FE}"/>
  </bookViews>
  <sheets>
    <sheet name="Steel Sector" sheetId="1" r:id="rId1"/>
    <sheet name="Asset Allocation" sheetId="6" r:id="rId2"/>
    <sheet name="Indexing" sheetId="5" r:id="rId3"/>
    <sheet name="Short Term" sheetId="4" r:id="rId4"/>
    <sheet name="Mid Term" sheetId="8" r:id="rId5"/>
    <sheet name="H" sheetId="2" r:id="rId6"/>
    <sheet name="Long Term" sheetId="7" r:id="rId7"/>
    <sheet name="Sheet1" sheetId="9" r:id="rId8"/>
    <sheet name="Sheet3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" i="6" l="1"/>
  <c r="N24" i="6"/>
  <c r="N20" i="6"/>
  <c r="N21" i="6"/>
  <c r="N22" i="6"/>
  <c r="N23" i="6"/>
  <c r="N19" i="6"/>
  <c r="T22" i="5"/>
  <c r="T19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5" i="5"/>
  <c r="Q22" i="5"/>
  <c r="Q19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5" i="5"/>
  <c r="P19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5" i="5"/>
  <c r="L20" i="6"/>
  <c r="L21" i="6"/>
  <c r="L22" i="6"/>
  <c r="L23" i="6"/>
  <c r="D11" i="6"/>
  <c r="J23" i="6"/>
  <c r="N22" i="5"/>
  <c r="N19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5" i="5"/>
  <c r="H22" i="5"/>
  <c r="G5" i="5"/>
  <c r="G23" i="6"/>
  <c r="D23" i="6"/>
  <c r="C10" i="6"/>
  <c r="C9" i="6"/>
  <c r="C8" i="6"/>
  <c r="C7" i="6"/>
  <c r="C6" i="6"/>
  <c r="G6" i="5"/>
  <c r="G7" i="5"/>
  <c r="G8" i="5"/>
  <c r="G9" i="5"/>
  <c r="G11" i="5"/>
  <c r="G10" i="5"/>
  <c r="G12" i="5"/>
  <c r="G13" i="5"/>
  <c r="G14" i="5"/>
  <c r="G15" i="5"/>
  <c r="G16" i="5"/>
  <c r="G17" i="5"/>
  <c r="G18" i="5"/>
  <c r="L8" i="3"/>
  <c r="M8" i="3" s="1"/>
  <c r="M9" i="3" s="1"/>
  <c r="M11" i="3" s="1"/>
  <c r="H11" i="3"/>
  <c r="H8" i="3"/>
  <c r="H3" i="3"/>
  <c r="H4" i="3"/>
  <c r="H5" i="3"/>
  <c r="H6" i="3"/>
  <c r="H7" i="3"/>
  <c r="H2" i="3"/>
  <c r="G3" i="3"/>
  <c r="G4" i="3"/>
  <c r="G5" i="3"/>
  <c r="G6" i="3"/>
  <c r="G7" i="3"/>
  <c r="G2" i="3"/>
  <c r="F3" i="3"/>
  <c r="F4" i="3"/>
  <c r="F5" i="3"/>
  <c r="F6" i="3"/>
  <c r="F7" i="3"/>
  <c r="K5" i="3"/>
  <c r="L5" i="3"/>
  <c r="M5" i="3" s="1"/>
  <c r="K3" i="3"/>
  <c r="L3" i="3" s="1"/>
  <c r="M3" i="3" s="1"/>
  <c r="K4" i="3"/>
  <c r="L4" i="3" s="1"/>
  <c r="M4" i="3" s="1"/>
  <c r="K6" i="3"/>
  <c r="L6" i="3" s="1"/>
  <c r="M6" i="3" s="1"/>
  <c r="K7" i="3"/>
  <c r="L7" i="3" s="1"/>
  <c r="M7" i="3" s="1"/>
  <c r="F2" i="3"/>
  <c r="K2" i="3"/>
  <c r="L2" i="3" s="1"/>
  <c r="M2" i="3" s="1"/>
  <c r="C19" i="5"/>
  <c r="Q46" i="1"/>
  <c r="N46" i="1"/>
  <c r="L46" i="1"/>
  <c r="K46" i="1"/>
  <c r="H46" i="1"/>
  <c r="E46" i="1"/>
  <c r="Q45" i="1"/>
  <c r="N45" i="1"/>
  <c r="L45" i="1"/>
  <c r="K45" i="1"/>
  <c r="H45" i="1"/>
  <c r="E45" i="1"/>
  <c r="Q44" i="1"/>
  <c r="N44" i="1"/>
  <c r="L44" i="1"/>
  <c r="K44" i="1"/>
  <c r="H44" i="1"/>
  <c r="E44" i="1"/>
  <c r="Q43" i="1"/>
  <c r="N43" i="1"/>
  <c r="L43" i="1"/>
  <c r="K43" i="1"/>
  <c r="H43" i="1"/>
  <c r="E43" i="1"/>
  <c r="Q42" i="1"/>
  <c r="N42" i="1"/>
  <c r="L42" i="1"/>
  <c r="K42" i="1"/>
  <c r="H42" i="1"/>
  <c r="E42" i="1"/>
  <c r="R42" i="1" s="1"/>
  <c r="M38" i="1"/>
  <c r="I38" i="1"/>
  <c r="M37" i="1"/>
  <c r="I37" i="1"/>
  <c r="M36" i="1"/>
  <c r="I36" i="1"/>
  <c r="M35" i="1"/>
  <c r="I35" i="1"/>
  <c r="M34" i="1"/>
  <c r="I34" i="1"/>
  <c r="E17" i="1"/>
  <c r="C17" i="1"/>
  <c r="J22" i="6" l="1"/>
  <c r="G22" i="6"/>
  <c r="D22" i="6"/>
  <c r="G21" i="6"/>
  <c r="D21" i="6"/>
  <c r="J21" i="6"/>
  <c r="G20" i="6"/>
  <c r="D20" i="6"/>
  <c r="J20" i="6"/>
  <c r="J19" i="6"/>
  <c r="J24" i="6" s="1"/>
  <c r="G19" i="6"/>
  <c r="G24" i="6" s="1"/>
  <c r="H24" i="6" s="1"/>
  <c r="D19" i="6"/>
  <c r="D24" i="6" s="1"/>
  <c r="E24" i="6" s="1"/>
  <c r="L19" i="6"/>
  <c r="L24" i="6" s="1"/>
  <c r="L26" i="6" s="1"/>
  <c r="J26" i="6"/>
  <c r="E9" i="5"/>
  <c r="H9" i="5" s="1"/>
  <c r="E12" i="5"/>
  <c r="H12" i="5" s="1"/>
  <c r="E14" i="5"/>
  <c r="H14" i="5" s="1"/>
  <c r="E16" i="5"/>
  <c r="H16" i="5" s="1"/>
  <c r="E18" i="5"/>
  <c r="H18" i="5" s="1"/>
  <c r="E6" i="5"/>
  <c r="H6" i="5" s="1"/>
  <c r="E8" i="5"/>
  <c r="H8" i="5" s="1"/>
  <c r="E11" i="5"/>
  <c r="H11" i="5" s="1"/>
  <c r="E10" i="5"/>
  <c r="H10" i="5" s="1"/>
  <c r="E13" i="5"/>
  <c r="H13" i="5" s="1"/>
  <c r="E15" i="5"/>
  <c r="H15" i="5" s="1"/>
  <c r="E17" i="5"/>
  <c r="H17" i="5" s="1"/>
  <c r="E5" i="5"/>
  <c r="H5" i="5" s="1"/>
  <c r="E7" i="5"/>
  <c r="H7" i="5" s="1"/>
  <c r="R43" i="1"/>
  <c r="R44" i="1"/>
  <c r="R45" i="1"/>
  <c r="R46" i="1"/>
  <c r="H19" i="5" l="1"/>
</calcChain>
</file>

<file path=xl/sharedStrings.xml><?xml version="1.0" encoding="utf-8"?>
<sst xmlns="http://schemas.openxmlformats.org/spreadsheetml/2006/main" count="247" uniqueCount="106">
  <si>
    <t>STEEL INDUSTRY</t>
  </si>
  <si>
    <t>S.No</t>
  </si>
  <si>
    <t>Name</t>
  </si>
  <si>
    <t>Market Cap (Rs CR)</t>
  </si>
  <si>
    <t>Current Market Price</t>
  </si>
  <si>
    <t>P/E Ratio</t>
  </si>
  <si>
    <t>JSW Steel</t>
  </si>
  <si>
    <t>Tata Steel</t>
  </si>
  <si>
    <t>Jindal Steel</t>
  </si>
  <si>
    <t>SAIL</t>
  </si>
  <si>
    <t>Jindal Stainless Limited </t>
  </si>
  <si>
    <t>NMDC</t>
  </si>
  <si>
    <t>Sarda Energy</t>
  </si>
  <si>
    <t>Jai Balaji Inds.</t>
  </si>
  <si>
    <t>Prakash Industri</t>
  </si>
  <si>
    <t>Mukand</t>
  </si>
  <si>
    <t>Manaksia Steels</t>
  </si>
  <si>
    <t>Scan Steels</t>
  </si>
  <si>
    <t>KIC Metaliks</t>
  </si>
  <si>
    <t xml:space="preserve">Ankit Met.Power	</t>
  </si>
  <si>
    <t>Total Market Cap</t>
  </si>
  <si>
    <t>Industry Average P/E</t>
  </si>
  <si>
    <t>OVER VALUED</t>
  </si>
  <si>
    <t>Companies having P/E GREATER than Industry  AVERAGE P/E</t>
  </si>
  <si>
    <t>REVENUE</t>
  </si>
  <si>
    <t>PROFIT</t>
  </si>
  <si>
    <t>PEG Ratio</t>
  </si>
  <si>
    <t>YOY</t>
  </si>
  <si>
    <t>REJECT</t>
  </si>
  <si>
    <t>INC</t>
  </si>
  <si>
    <t>SELECT</t>
  </si>
  <si>
    <t>Value pick</t>
  </si>
  <si>
    <t>DEC</t>
  </si>
  <si>
    <t>Growth Picked</t>
  </si>
  <si>
    <t xml:space="preserve">126.72	</t>
  </si>
  <si>
    <t>Value+Growth</t>
  </si>
  <si>
    <t>ROCE</t>
  </si>
  <si>
    <t>Ranking</t>
  </si>
  <si>
    <t>EV/EBITDA</t>
  </si>
  <si>
    <t>Debt to Equity</t>
  </si>
  <si>
    <t>EBITDA Margin</t>
  </si>
  <si>
    <t>Interest Coverage</t>
  </si>
  <si>
    <t>Total</t>
  </si>
  <si>
    <t>Final Rank</t>
  </si>
  <si>
    <t>Weighted  Rank</t>
  </si>
  <si>
    <t>LONG TERM</t>
  </si>
  <si>
    <t>VALUE+GROWTH</t>
  </si>
  <si>
    <t>PATTERN</t>
  </si>
  <si>
    <t>CURRENT TREND</t>
  </si>
  <si>
    <t>RECOMMENDATION</t>
  </si>
  <si>
    <t>up/down</t>
  </si>
  <si>
    <t>buy/sell</t>
  </si>
  <si>
    <t>mid term</t>
  </si>
  <si>
    <t>triangle</t>
  </si>
  <si>
    <t>rectangle</t>
  </si>
  <si>
    <t>short term</t>
  </si>
  <si>
    <t>SHORT TERM</t>
  </si>
  <si>
    <t>1. JINDAL STAINLESS STEEL</t>
  </si>
  <si>
    <t>DOJI CANDLE</t>
  </si>
  <si>
    <t>BEARISH BREAKDOWN</t>
  </si>
  <si>
    <t>DOWN</t>
  </si>
  <si>
    <t>SELL</t>
  </si>
  <si>
    <t>2 Sarda Energy</t>
  </si>
  <si>
    <t>Days Weighted</t>
  </si>
  <si>
    <t>1 RELIANCE</t>
  </si>
  <si>
    <t>2. HDFC</t>
  </si>
  <si>
    <t>INFOSYS</t>
  </si>
  <si>
    <t>TCS</t>
  </si>
  <si>
    <t>ITC</t>
  </si>
  <si>
    <t>NET EFFECT</t>
  </si>
  <si>
    <t>WEIGHTAGE</t>
  </si>
  <si>
    <t>JSW</t>
  </si>
  <si>
    <t>CMP (22 MAY)</t>
  </si>
  <si>
    <t>% Change</t>
  </si>
  <si>
    <t>Net Change</t>
  </si>
  <si>
    <t>value+growth</t>
  </si>
  <si>
    <t>price</t>
  </si>
  <si>
    <t>No. of Shares</t>
  </si>
  <si>
    <t>Asset Allocation</t>
  </si>
  <si>
    <t>Price( 22 may)</t>
  </si>
  <si>
    <t>1 Prakash</t>
  </si>
  <si>
    <t>2 Jai Balaji Indus</t>
  </si>
  <si>
    <t>3 Jindal Stainless Limited</t>
  </si>
  <si>
    <t>4 Sarda Energy</t>
  </si>
  <si>
    <t>5 Scan Steels</t>
  </si>
  <si>
    <t>Net Asset Value</t>
  </si>
  <si>
    <t>Asset  (22 May)</t>
  </si>
  <si>
    <t>INVERTED HAMMER</t>
  </si>
  <si>
    <t>JINDAL STAINLESS STEEL</t>
  </si>
  <si>
    <t>Inverted Hammer</t>
  </si>
  <si>
    <t>UpTrend</t>
  </si>
  <si>
    <t>CMP (25 MAY)</t>
  </si>
  <si>
    <t>Total Rank</t>
  </si>
  <si>
    <r>
      <t>Companies having P/E LESS than Industry  AVERAGE P/E  (</t>
    </r>
    <r>
      <rPr>
        <b/>
        <sz val="14"/>
        <color theme="1"/>
        <rFont val="Calibri"/>
        <family val="2"/>
        <scheme val="minor"/>
      </rPr>
      <t>UNDER VALUED)</t>
    </r>
  </si>
  <si>
    <t>Price( 25 may)</t>
  </si>
  <si>
    <t>Asset  (25 May)</t>
  </si>
  <si>
    <t>Trade Price</t>
  </si>
  <si>
    <t>Asset Allocated</t>
  </si>
  <si>
    <t>NET ASSET VALUE</t>
  </si>
  <si>
    <t>Fixed Companies</t>
  </si>
  <si>
    <t>CMP (26 MAY)</t>
  </si>
  <si>
    <t>INDEX</t>
  </si>
  <si>
    <t>Price</t>
  </si>
  <si>
    <t xml:space="preserve">Asset  </t>
  </si>
  <si>
    <t>Asset Under Management</t>
  </si>
  <si>
    <t xml:space="preserve">CMP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</si>
</sst>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A0A0A"/>
      <name val="Calibri"/>
      <family val="2"/>
      <scheme val="minor"/>
    </font>
    <font>
      <sz val="12"/>
      <color rgb="FF22222F"/>
      <name val="Calibri"/>
      <family val="2"/>
      <scheme val="minor"/>
    </font>
    <font>
      <sz val="12"/>
      <color rgb="FF21252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212529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9" fontId="18" fillId="0" borderId="0" applyFont="0" applyFill="0" applyBorder="0" applyAlignment="0" applyProtection="0"/>
  </cellStyleXfs>
  <cellXfs count="93">
    <xf numFmtId="0" fontId="0" fillId="0" borderId="0" xfId="0"/>
    <xf numFmtId="0" fontId="4" fillId="0" borderId="0" xfId="0" applyFont="1"/>
    <xf numFmtId="0" fontId="5" fillId="2" borderId="3" xfId="0" applyFont="1" applyFill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/>
    </xf>
    <xf numFmtId="0" fontId="11" fillId="0" borderId="3" xfId="1" applyFont="1" applyBorder="1" applyAlignment="1">
      <alignment horizontal="right" vertical="center"/>
    </xf>
    <xf numFmtId="0" fontId="4" fillId="3" borderId="0" xfId="0" applyFont="1" applyFill="1"/>
    <xf numFmtId="0" fontId="12" fillId="0" borderId="3" xfId="0" applyFont="1" applyBorder="1"/>
    <xf numFmtId="0" fontId="0" fillId="0" borderId="3" xfId="0" applyBorder="1"/>
    <xf numFmtId="0" fontId="13" fillId="0" borderId="3" xfId="0" applyFont="1" applyBorder="1" applyAlignment="1">
      <alignment horizontal="right" vertical="center"/>
    </xf>
    <xf numFmtId="0" fontId="12" fillId="0" borderId="3" xfId="0" applyFont="1" applyBorder="1" applyAlignment="1">
      <alignment horizontal="right"/>
    </xf>
    <xf numFmtId="0" fontId="12" fillId="0" borderId="0" xfId="0" applyFont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4" fillId="0" borderId="3" xfId="0" applyFont="1" applyBorder="1"/>
    <xf numFmtId="0" fontId="14" fillId="0" borderId="3" xfId="0" applyFont="1" applyBorder="1" applyAlignment="1">
      <alignment horizontal="center"/>
    </xf>
    <xf numFmtId="0" fontId="15" fillId="0" borderId="3" xfId="0" applyFont="1" applyBorder="1"/>
    <xf numFmtId="0" fontId="16" fillId="0" borderId="3" xfId="0" applyFont="1" applyBorder="1" applyAlignment="1">
      <alignment horizontal="center"/>
    </xf>
    <xf numFmtId="0" fontId="17" fillId="0" borderId="3" xfId="0" applyFont="1" applyBorder="1"/>
    <xf numFmtId="0" fontId="4" fillId="6" borderId="0" xfId="0" applyFont="1" applyFill="1"/>
    <xf numFmtId="0" fontId="1" fillId="2" borderId="3" xfId="0" applyFont="1" applyFill="1" applyBorder="1"/>
    <xf numFmtId="0" fontId="3" fillId="2" borderId="3" xfId="0" applyFont="1" applyFill="1" applyBorder="1"/>
    <xf numFmtId="9" fontId="0" fillId="0" borderId="0" xfId="2" applyFont="1"/>
    <xf numFmtId="9" fontId="0" fillId="0" borderId="0" xfId="0" applyNumberFormat="1"/>
    <xf numFmtId="10" fontId="0" fillId="0" borderId="0" xfId="0" applyNumberFormat="1"/>
    <xf numFmtId="0" fontId="0" fillId="0" borderId="0" xfId="2" applyNumberFormat="1" applyFont="1"/>
    <xf numFmtId="0" fontId="4" fillId="6" borderId="3" xfId="0" applyFont="1" applyFill="1" applyBorder="1"/>
    <xf numFmtId="0" fontId="3" fillId="5" borderId="3" xfId="0" applyFont="1" applyFill="1" applyBorder="1" applyAlignment="1">
      <alignment horizontal="right" vertical="center"/>
    </xf>
    <xf numFmtId="0" fontId="3" fillId="5" borderId="3" xfId="0" applyFont="1" applyFill="1" applyBorder="1"/>
    <xf numFmtId="0" fontId="12" fillId="6" borderId="3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19" fillId="0" borderId="3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/>
    </xf>
    <xf numFmtId="0" fontId="20" fillId="0" borderId="3" xfId="0" applyFont="1" applyBorder="1"/>
    <xf numFmtId="0" fontId="6" fillId="0" borderId="0" xfId="0" applyFont="1"/>
    <xf numFmtId="0" fontId="5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0" applyFont="1"/>
    <xf numFmtId="2" fontId="6" fillId="0" borderId="0" xfId="0" applyNumberFormat="1" applyFont="1"/>
    <xf numFmtId="0" fontId="6" fillId="0" borderId="3" xfId="0" applyFont="1" applyBorder="1"/>
    <xf numFmtId="0" fontId="13" fillId="0" borderId="3" xfId="0" applyFont="1" applyBorder="1"/>
    <xf numFmtId="0" fontId="6" fillId="0" borderId="11" xfId="0" applyFont="1" applyBorder="1"/>
    <xf numFmtId="0" fontId="6" fillId="0" borderId="12" xfId="0" applyFont="1" applyBorder="1"/>
    <xf numFmtId="0" fontId="5" fillId="0" borderId="9" xfId="0" applyFont="1" applyBorder="1" applyAlignment="1">
      <alignment horizontal="center"/>
    </xf>
    <xf numFmtId="0" fontId="13" fillId="0" borderId="10" xfId="0" applyFont="1" applyBorder="1"/>
    <xf numFmtId="0" fontId="23" fillId="0" borderId="0" xfId="0" applyFont="1"/>
    <xf numFmtId="0" fontId="13" fillId="0" borderId="3" xfId="0" applyFont="1" applyBorder="1" applyAlignment="1">
      <alignment horizontal="center"/>
    </xf>
    <xf numFmtId="0" fontId="13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/>
    <xf numFmtId="0" fontId="5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5" fillId="0" borderId="0" xfId="0" applyFont="1"/>
    <xf numFmtId="10" fontId="6" fillId="0" borderId="3" xfId="2" applyNumberFormat="1" applyFont="1" applyBorder="1"/>
    <xf numFmtId="10" fontId="6" fillId="0" borderId="3" xfId="0" applyNumberFormat="1" applyFont="1" applyBorder="1"/>
    <xf numFmtId="10" fontId="6" fillId="0" borderId="0" xfId="2" applyNumberFormat="1" applyFont="1"/>
    <xf numFmtId="10" fontId="6" fillId="0" borderId="0" xfId="0" applyNumberFormat="1" applyFont="1"/>
    <xf numFmtId="164" fontId="6" fillId="0" borderId="0" xfId="0" applyNumberFormat="1" applyFont="1"/>
    <xf numFmtId="0" fontId="5" fillId="8" borderId="13" xfId="0" applyFont="1" applyFill="1" applyBorder="1" applyAlignment="1">
      <alignment horizontal="center"/>
    </xf>
    <xf numFmtId="0" fontId="22" fillId="2" borderId="8" xfId="0" applyFont="1" applyFill="1" applyBorder="1" applyAlignment="1">
      <alignment horizontal="center"/>
    </xf>
    <xf numFmtId="0" fontId="22" fillId="2" borderId="0" xfId="0" applyFont="1" applyFill="1" applyAlignment="1">
      <alignment horizontal="center"/>
    </xf>
    <xf numFmtId="16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6" fontId="21" fillId="0" borderId="11" xfId="0" applyNumberFormat="1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9" fontId="12" fillId="7" borderId="4" xfId="0" applyNumberFormat="1" applyFont="1" applyFill="1" applyBorder="1" applyAlignment="1">
      <alignment horizontal="center"/>
    </xf>
    <xf numFmtId="9" fontId="12" fillId="7" borderId="5" xfId="0" applyNumberFormat="1" applyFont="1" applyFill="1" applyBorder="1" applyAlignment="1">
      <alignment horizontal="center"/>
    </xf>
    <xf numFmtId="9" fontId="12" fillId="7" borderId="6" xfId="0" applyNumberFormat="1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6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76200</xdr:rowOff>
    </xdr:from>
    <xdr:to>
      <xdr:col>7</xdr:col>
      <xdr:colOff>53340</xdr:colOff>
      <xdr:row>17</xdr:row>
      <xdr:rowOff>133056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612138-6308-2173-87D3-B6F542072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4840"/>
          <a:ext cx="4320540" cy="275433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22</xdr:row>
      <xdr:rowOff>0</xdr:rowOff>
    </xdr:from>
    <xdr:to>
      <xdr:col>7</xdr:col>
      <xdr:colOff>201361</xdr:colOff>
      <xdr:row>35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443BE8-A758-62CC-1A42-D33552D83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4023360"/>
          <a:ext cx="4468560" cy="2385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121920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E30ED27-B567-87CA-FD0B-6B2C587D031A}"/>
            </a:ext>
          </a:extLst>
        </xdr:cNvPr>
        <xdr:cNvSpPr>
          <a:spLocks noChangeAspect="1" noChangeArrowheads="1"/>
        </xdr:cNvSpPr>
      </xdr:nvSpPr>
      <xdr:spPr bwMode="auto">
        <a:xfrm>
          <a:off x="0" y="708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1</xdr:rowOff>
    </xdr:from>
    <xdr:to>
      <xdr:col>7</xdr:col>
      <xdr:colOff>600510</xdr:colOff>
      <xdr:row>52</xdr:row>
      <xdr:rowOff>99060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17AB68E-1557-908D-C712-F7035531A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086601"/>
          <a:ext cx="4867710" cy="26593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601981</xdr:colOff>
      <xdr:row>1</xdr:row>
      <xdr:rowOff>175261</xdr:rowOff>
    </xdr:from>
    <xdr:to>
      <xdr:col>10</xdr:col>
      <xdr:colOff>288339</xdr:colOff>
      <xdr:row>20</xdr:row>
      <xdr:rowOff>15241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D387D7-0388-1A75-9343-BE9D5CFBD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981" y="358141"/>
          <a:ext cx="5782358" cy="3314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F0C8-2261-4D48-BC61-C81AE417A5F6}">
  <dimension ref="A1:V46"/>
  <sheetViews>
    <sheetView tabSelected="1" topLeftCell="C7" zoomScale="53" zoomScaleNormal="63" workbookViewId="0">
      <selection activeCell="AD33" sqref="AD33"/>
    </sheetView>
  </sheetViews>
  <sheetFormatPr defaultRowHeight="18" x14ac:dyDescent="0.35"/>
  <cols>
    <col min="1" max="1" width="8.88671875" style="1"/>
    <col min="2" max="2" width="27.88671875" style="1" customWidth="1"/>
    <col min="3" max="3" width="21.44140625" style="1" bestFit="1" customWidth="1"/>
    <col min="4" max="4" width="20.77734375" style="1" bestFit="1" customWidth="1"/>
    <col min="5" max="5" width="23.21875" style="1" bestFit="1" customWidth="1"/>
    <col min="6" max="6" width="11.77734375" style="1" bestFit="1" customWidth="1"/>
    <col min="7" max="7" width="13.21875" style="1" bestFit="1" customWidth="1"/>
    <col min="8" max="8" width="17.5546875" style="1" bestFit="1" customWidth="1"/>
    <col min="9" max="9" width="13.88671875" style="1" bestFit="1" customWidth="1"/>
    <col min="10" max="10" width="8.88671875" style="1"/>
    <col min="11" max="11" width="27.33203125" style="1" customWidth="1"/>
    <col min="12" max="12" width="19.109375" style="1" bestFit="1" customWidth="1"/>
    <col min="13" max="13" width="20.77734375" style="1" bestFit="1" customWidth="1"/>
    <col min="14" max="14" width="14.44140625" style="1" bestFit="1" customWidth="1"/>
    <col min="15" max="15" width="16.33203125" style="1" bestFit="1" customWidth="1"/>
    <col min="16" max="16" width="7.77734375" style="1" bestFit="1" customWidth="1"/>
    <col min="17" max="17" width="18.5546875" style="1" bestFit="1" customWidth="1"/>
    <col min="18" max="18" width="12.44140625" style="1" bestFit="1" customWidth="1"/>
    <col min="19" max="19" width="12.33203125" style="1" bestFit="1" customWidth="1"/>
    <col min="20" max="21" width="8.88671875" style="1"/>
    <col min="22" max="22" width="9.5546875" style="1" bestFit="1" customWidth="1"/>
    <col min="23" max="16384" width="8.88671875" style="1"/>
  </cols>
  <sheetData>
    <row r="1" spans="1:5" x14ac:dyDescent="0.35">
      <c r="A1" s="78" t="s">
        <v>0</v>
      </c>
      <c r="B1" s="79"/>
      <c r="C1" s="79"/>
      <c r="D1" s="79"/>
      <c r="E1" s="79"/>
    </row>
    <row r="2" spans="1:5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5">
      <c r="A3" s="3">
        <v>1</v>
      </c>
      <c r="B3" s="4" t="s">
        <v>6</v>
      </c>
      <c r="C3" s="5">
        <v>309227.65000000002</v>
      </c>
      <c r="D3" s="6">
        <v>1264.5</v>
      </c>
      <c r="E3" s="3">
        <v>39.56</v>
      </c>
    </row>
    <row r="4" spans="1:5" x14ac:dyDescent="0.35">
      <c r="A4" s="3">
        <v>2</v>
      </c>
      <c r="B4" s="4" t="s">
        <v>7</v>
      </c>
      <c r="C4" s="7">
        <v>263851.83</v>
      </c>
      <c r="D4" s="6">
        <v>211.36</v>
      </c>
      <c r="E4" s="3">
        <v>26.97</v>
      </c>
    </row>
    <row r="5" spans="1:5" x14ac:dyDescent="0.35">
      <c r="A5" s="3">
        <v>3</v>
      </c>
      <c r="B5" s="4" t="s">
        <v>8</v>
      </c>
      <c r="C5" s="5">
        <v>124766.98</v>
      </c>
      <c r="D5" s="6">
        <v>1223.0999999999999</v>
      </c>
      <c r="E5" s="3">
        <v>30.95</v>
      </c>
    </row>
    <row r="6" spans="1:5" x14ac:dyDescent="0.35">
      <c r="A6" s="3">
        <v>4</v>
      </c>
      <c r="B6" s="4" t="s">
        <v>9</v>
      </c>
      <c r="C6" s="7">
        <v>76257.759999999995</v>
      </c>
      <c r="D6" s="8">
        <v>184.62</v>
      </c>
      <c r="E6" s="3">
        <v>25.18</v>
      </c>
    </row>
    <row r="7" spans="1:5" ht="14.4" customHeight="1" x14ac:dyDescent="0.35">
      <c r="A7" s="3">
        <v>5</v>
      </c>
      <c r="B7" s="9" t="s">
        <v>10</v>
      </c>
      <c r="C7" s="7">
        <v>63265.96</v>
      </c>
      <c r="D7" s="7">
        <v>767.4</v>
      </c>
      <c r="E7" s="3">
        <v>21.4</v>
      </c>
    </row>
    <row r="8" spans="1:5" x14ac:dyDescent="0.35">
      <c r="A8" s="3">
        <v>6</v>
      </c>
      <c r="B8" s="4" t="s">
        <v>11</v>
      </c>
      <c r="C8" s="7">
        <v>12519.55</v>
      </c>
      <c r="D8" s="8">
        <v>42.72</v>
      </c>
      <c r="E8" s="3"/>
    </row>
    <row r="9" spans="1:5" x14ac:dyDescent="0.35">
      <c r="A9" s="3">
        <v>7</v>
      </c>
      <c r="B9" s="10" t="s">
        <v>12</v>
      </c>
      <c r="C9" s="7">
        <v>20845.11</v>
      </c>
      <c r="D9" s="8">
        <v>591.54999999999995</v>
      </c>
      <c r="E9" s="3">
        <v>19.87</v>
      </c>
    </row>
    <row r="10" spans="1:5" x14ac:dyDescent="0.35">
      <c r="A10" s="3">
        <v>8</v>
      </c>
      <c r="B10" s="10" t="s">
        <v>13</v>
      </c>
      <c r="C10" s="7">
        <v>7142.32</v>
      </c>
      <c r="D10" s="8">
        <v>78.290000000000006</v>
      </c>
      <c r="E10" s="3">
        <v>24.38</v>
      </c>
    </row>
    <row r="11" spans="1:5" x14ac:dyDescent="0.35">
      <c r="A11" s="3">
        <v>9</v>
      </c>
      <c r="B11" s="10" t="s">
        <v>14</v>
      </c>
      <c r="C11" s="7">
        <v>2547.98</v>
      </c>
      <c r="D11" s="8">
        <v>142.28</v>
      </c>
      <c r="E11" s="3">
        <v>7.71</v>
      </c>
    </row>
    <row r="12" spans="1:5" x14ac:dyDescent="0.35">
      <c r="A12" s="3">
        <v>10</v>
      </c>
      <c r="B12" s="10" t="s">
        <v>15</v>
      </c>
      <c r="C12" s="7">
        <v>1994.76</v>
      </c>
      <c r="D12" s="8">
        <v>138.05000000000001</v>
      </c>
      <c r="E12" s="3">
        <v>33.21</v>
      </c>
    </row>
    <row r="13" spans="1:5" x14ac:dyDescent="0.35">
      <c r="A13" s="3">
        <v>11</v>
      </c>
      <c r="B13" s="10" t="s">
        <v>16</v>
      </c>
      <c r="C13" s="7">
        <v>456.77</v>
      </c>
      <c r="D13" s="8">
        <v>69.7</v>
      </c>
      <c r="E13" s="3">
        <v>19.2</v>
      </c>
    </row>
    <row r="14" spans="1:5" x14ac:dyDescent="0.35">
      <c r="A14" s="3">
        <v>12</v>
      </c>
      <c r="B14" s="10" t="s">
        <v>17</v>
      </c>
      <c r="C14" s="7">
        <v>216.87</v>
      </c>
      <c r="D14" s="8">
        <v>35.700000000000003</v>
      </c>
      <c r="E14" s="3">
        <v>13.17</v>
      </c>
    </row>
    <row r="15" spans="1:5" x14ac:dyDescent="0.35">
      <c r="A15" s="3">
        <v>13</v>
      </c>
      <c r="B15" s="10" t="s">
        <v>18</v>
      </c>
      <c r="C15" s="7">
        <v>126.72</v>
      </c>
      <c r="D15" s="8">
        <v>35.700000000000003</v>
      </c>
      <c r="E15" s="3"/>
    </row>
    <row r="16" spans="1:5" x14ac:dyDescent="0.35">
      <c r="A16" s="3">
        <v>14</v>
      </c>
      <c r="B16" s="11" t="s">
        <v>19</v>
      </c>
      <c r="C16" s="7">
        <v>22.58</v>
      </c>
      <c r="D16" s="8">
        <v>1.6</v>
      </c>
      <c r="E16" s="3"/>
    </row>
    <row r="17" spans="1:22" x14ac:dyDescent="0.35">
      <c r="C17" s="12">
        <f>SUM(C3:C16)</f>
        <v>883242.83999999985</v>
      </c>
      <c r="E17" s="12">
        <f>AVERAGE(E3:E16)</f>
        <v>23.781818181818185</v>
      </c>
    </row>
    <row r="18" spans="1:22" x14ac:dyDescent="0.35">
      <c r="C18" s="1" t="s">
        <v>20</v>
      </c>
      <c r="E18" s="1" t="s">
        <v>21</v>
      </c>
    </row>
    <row r="20" spans="1:22" x14ac:dyDescent="0.35">
      <c r="C20" s="1" t="s">
        <v>22</v>
      </c>
      <c r="J20" s="80" t="s">
        <v>93</v>
      </c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2"/>
    </row>
    <row r="21" spans="1:22" x14ac:dyDescent="0.35">
      <c r="A21" s="83" t="s">
        <v>23</v>
      </c>
      <c r="B21" s="83"/>
      <c r="C21" s="83"/>
      <c r="D21" s="83"/>
      <c r="E21" s="84"/>
      <c r="J21" s="13"/>
      <c r="K21" s="13"/>
      <c r="L21" s="13"/>
      <c r="M21" s="13"/>
      <c r="N21" s="13"/>
      <c r="O21" s="85" t="s">
        <v>24</v>
      </c>
      <c r="P21" s="85"/>
      <c r="Q21" s="85"/>
      <c r="R21" s="85" t="s">
        <v>25</v>
      </c>
      <c r="S21" s="85"/>
      <c r="T21" s="85"/>
      <c r="U21" s="14"/>
      <c r="V21" s="14"/>
    </row>
    <row r="22" spans="1:22" s="17" customFormat="1" x14ac:dyDescent="0.35">
      <c r="A22" s="15" t="s">
        <v>1</v>
      </c>
      <c r="B22" s="15" t="s">
        <v>2</v>
      </c>
      <c r="C22" s="15" t="s">
        <v>3</v>
      </c>
      <c r="D22" s="15" t="s">
        <v>4</v>
      </c>
      <c r="E22" s="15" t="s">
        <v>5</v>
      </c>
      <c r="F22" s="16" t="s">
        <v>26</v>
      </c>
      <c r="G22" s="13"/>
      <c r="H22" s="13"/>
      <c r="J22" s="15" t="s">
        <v>1</v>
      </c>
      <c r="K22" s="15" t="s">
        <v>2</v>
      </c>
      <c r="L22" s="15" t="s">
        <v>3</v>
      </c>
      <c r="M22" s="15" t="s">
        <v>4</v>
      </c>
      <c r="N22" s="15" t="s">
        <v>5</v>
      </c>
      <c r="O22" s="18">
        <v>2025</v>
      </c>
      <c r="P22" s="18">
        <v>2026</v>
      </c>
      <c r="Q22" s="19" t="s">
        <v>27</v>
      </c>
      <c r="R22" s="18">
        <v>2025</v>
      </c>
      <c r="S22" s="18">
        <v>2026</v>
      </c>
      <c r="T22" s="19" t="s">
        <v>27</v>
      </c>
      <c r="U22" s="18"/>
      <c r="V22" s="18"/>
    </row>
    <row r="23" spans="1:22" x14ac:dyDescent="0.35">
      <c r="A23" s="3">
        <v>1</v>
      </c>
      <c r="B23" s="4" t="s">
        <v>6</v>
      </c>
      <c r="C23" s="5">
        <v>309227.65000000002</v>
      </c>
      <c r="D23" s="6">
        <v>1264.5</v>
      </c>
      <c r="E23" s="3">
        <v>39.56</v>
      </c>
      <c r="F23" s="20">
        <v>-0.92</v>
      </c>
      <c r="G23" s="20" t="s">
        <v>28</v>
      </c>
      <c r="H23" s="20"/>
      <c r="J23" s="20">
        <v>1</v>
      </c>
      <c r="K23" s="9" t="s">
        <v>10</v>
      </c>
      <c r="L23" s="7">
        <v>63265.96</v>
      </c>
      <c r="M23" s="7">
        <v>767.4</v>
      </c>
      <c r="N23" s="3">
        <v>21.4</v>
      </c>
      <c r="O23" s="14">
        <v>10518</v>
      </c>
      <c r="P23" s="14">
        <v>11337</v>
      </c>
      <c r="Q23" s="21" t="s">
        <v>29</v>
      </c>
      <c r="R23" s="14">
        <v>828</v>
      </c>
      <c r="S23" s="14">
        <v>834</v>
      </c>
      <c r="T23" s="21" t="s">
        <v>29</v>
      </c>
      <c r="U23" s="22" t="s">
        <v>30</v>
      </c>
      <c r="V23" s="14" t="s">
        <v>31</v>
      </c>
    </row>
    <row r="24" spans="1:22" x14ac:dyDescent="0.35">
      <c r="A24" s="3">
        <v>2</v>
      </c>
      <c r="B24" s="4" t="s">
        <v>7</v>
      </c>
      <c r="C24" s="7">
        <v>263851.83</v>
      </c>
      <c r="D24" s="6">
        <v>211.36</v>
      </c>
      <c r="E24" s="3">
        <v>26.97</v>
      </c>
      <c r="F24" s="20">
        <v>-0.5</v>
      </c>
      <c r="G24" s="20" t="s">
        <v>28</v>
      </c>
      <c r="H24" s="20"/>
      <c r="J24" s="39">
        <v>2</v>
      </c>
      <c r="K24" s="10" t="s">
        <v>12</v>
      </c>
      <c r="L24" s="7">
        <v>20845.11</v>
      </c>
      <c r="M24" s="8">
        <v>591.54999999999995</v>
      </c>
      <c r="N24" s="3">
        <v>19.87</v>
      </c>
      <c r="O24" s="14">
        <v>3868</v>
      </c>
      <c r="P24" s="14">
        <v>4643</v>
      </c>
      <c r="Q24" s="21" t="s">
        <v>29</v>
      </c>
      <c r="R24" s="14">
        <v>524</v>
      </c>
      <c r="S24" s="14">
        <v>702</v>
      </c>
      <c r="T24" s="21" t="s">
        <v>29</v>
      </c>
      <c r="U24" s="22" t="s">
        <v>30</v>
      </c>
      <c r="V24" s="14" t="s">
        <v>31</v>
      </c>
    </row>
    <row r="25" spans="1:22" x14ac:dyDescent="0.35">
      <c r="A25" s="3">
        <v>3</v>
      </c>
      <c r="B25" s="4" t="s">
        <v>8</v>
      </c>
      <c r="C25" s="5">
        <v>124766.98</v>
      </c>
      <c r="D25" s="6">
        <v>1223.0999999999999</v>
      </c>
      <c r="E25" s="3">
        <v>30.95</v>
      </c>
      <c r="F25" s="20">
        <v>41.39</v>
      </c>
      <c r="G25" s="20" t="s">
        <v>28</v>
      </c>
      <c r="H25" s="20"/>
      <c r="J25" s="39">
        <v>3</v>
      </c>
      <c r="K25" s="10" t="s">
        <v>14</v>
      </c>
      <c r="L25" s="7">
        <v>2547.98</v>
      </c>
      <c r="M25" s="8">
        <v>142.28</v>
      </c>
      <c r="N25" s="3">
        <v>7.71</v>
      </c>
      <c r="O25" s="14">
        <v>3678</v>
      </c>
      <c r="P25" s="14">
        <v>4014</v>
      </c>
      <c r="Q25" s="21" t="s">
        <v>29</v>
      </c>
      <c r="R25" s="14">
        <v>328</v>
      </c>
      <c r="S25" s="14">
        <v>190</v>
      </c>
      <c r="T25" s="23" t="s">
        <v>32</v>
      </c>
      <c r="U25" s="22" t="s">
        <v>30</v>
      </c>
      <c r="V25" s="14" t="s">
        <v>31</v>
      </c>
    </row>
    <row r="26" spans="1:22" x14ac:dyDescent="0.35">
      <c r="A26" s="3">
        <v>4</v>
      </c>
      <c r="B26" s="4" t="s">
        <v>9</v>
      </c>
      <c r="C26" s="7">
        <v>76257.759999999995</v>
      </c>
      <c r="D26" s="8">
        <v>184.62</v>
      </c>
      <c r="E26" s="3">
        <v>25.18</v>
      </c>
      <c r="F26" s="20">
        <v>-0.66</v>
      </c>
      <c r="G26" s="20" t="s">
        <v>28</v>
      </c>
      <c r="H26" s="20"/>
      <c r="J26" s="39">
        <v>4</v>
      </c>
      <c r="K26" s="10" t="s">
        <v>16</v>
      </c>
      <c r="L26" s="7">
        <v>456.77</v>
      </c>
      <c r="M26" s="8">
        <v>69.7</v>
      </c>
      <c r="N26" s="3">
        <v>19.2</v>
      </c>
      <c r="O26" s="14">
        <v>632</v>
      </c>
      <c r="P26" s="14">
        <v>584</v>
      </c>
      <c r="Q26" s="23" t="s">
        <v>32</v>
      </c>
      <c r="R26" s="14">
        <v>30</v>
      </c>
      <c r="S26" s="14">
        <v>12</v>
      </c>
      <c r="T26" s="23" t="s">
        <v>32</v>
      </c>
      <c r="U26" s="14" t="s">
        <v>28</v>
      </c>
      <c r="V26" s="14"/>
    </row>
    <row r="27" spans="1:22" x14ac:dyDescent="0.35">
      <c r="A27" s="1">
        <v>5</v>
      </c>
      <c r="B27" s="10" t="s">
        <v>13</v>
      </c>
      <c r="C27" s="7">
        <v>7142.32</v>
      </c>
      <c r="D27" s="8">
        <v>78.290000000000006</v>
      </c>
      <c r="E27" s="3">
        <v>24.38</v>
      </c>
      <c r="F27" s="20">
        <v>0.21</v>
      </c>
      <c r="G27" s="24" t="s">
        <v>30</v>
      </c>
      <c r="H27" s="24" t="s">
        <v>33</v>
      </c>
      <c r="J27" s="39">
        <v>5</v>
      </c>
      <c r="K27" s="10" t="s">
        <v>17</v>
      </c>
      <c r="L27" s="7">
        <v>216.87</v>
      </c>
      <c r="M27" s="8">
        <v>35.700000000000003</v>
      </c>
      <c r="N27" s="3">
        <v>13.17</v>
      </c>
      <c r="O27" s="14">
        <v>965</v>
      </c>
      <c r="P27" s="14">
        <v>789</v>
      </c>
      <c r="Q27" s="23" t="s">
        <v>32</v>
      </c>
      <c r="R27" s="14">
        <v>18</v>
      </c>
      <c r="S27" s="14">
        <v>20</v>
      </c>
      <c r="T27" s="21" t="s">
        <v>29</v>
      </c>
      <c r="U27" s="22" t="s">
        <v>30</v>
      </c>
      <c r="V27" s="14" t="s">
        <v>31</v>
      </c>
    </row>
    <row r="28" spans="1:22" x14ac:dyDescent="0.35">
      <c r="A28" s="1">
        <v>6</v>
      </c>
      <c r="B28" s="10" t="s">
        <v>15</v>
      </c>
      <c r="C28" s="7">
        <v>1994.76</v>
      </c>
      <c r="D28" s="8">
        <v>138.05000000000001</v>
      </c>
      <c r="E28" s="3">
        <v>33.21</v>
      </c>
      <c r="F28" s="20">
        <v>-15.19</v>
      </c>
      <c r="G28" s="20" t="s">
        <v>28</v>
      </c>
      <c r="H28" s="20"/>
      <c r="J28" s="39">
        <v>6</v>
      </c>
      <c r="K28" s="4" t="s">
        <v>11</v>
      </c>
      <c r="L28" s="7">
        <v>12519.55</v>
      </c>
      <c r="M28" s="8">
        <v>42.72</v>
      </c>
      <c r="N28" s="3"/>
      <c r="O28" s="14">
        <v>3390</v>
      </c>
      <c r="P28" s="14">
        <v>3008</v>
      </c>
      <c r="Q28" s="21" t="s">
        <v>29</v>
      </c>
      <c r="R28" s="14">
        <v>-115</v>
      </c>
      <c r="S28" s="14">
        <v>-244</v>
      </c>
      <c r="T28" s="23" t="s">
        <v>32</v>
      </c>
      <c r="U28" s="22" t="s">
        <v>30</v>
      </c>
      <c r="V28" s="14" t="s">
        <v>31</v>
      </c>
    </row>
    <row r="29" spans="1:22" x14ac:dyDescent="0.35">
      <c r="J29" s="39">
        <v>7</v>
      </c>
      <c r="K29" s="10" t="s">
        <v>18</v>
      </c>
      <c r="L29" s="7" t="s">
        <v>34</v>
      </c>
      <c r="M29" s="8">
        <v>35.700000000000003</v>
      </c>
      <c r="N29" s="3"/>
      <c r="O29" s="14">
        <v>854</v>
      </c>
      <c r="P29" s="14">
        <v>717</v>
      </c>
      <c r="Q29" s="23" t="s">
        <v>32</v>
      </c>
      <c r="R29" s="14">
        <v>2</v>
      </c>
      <c r="S29" s="14">
        <v>-6</v>
      </c>
      <c r="T29" s="23" t="s">
        <v>32</v>
      </c>
      <c r="U29" s="14" t="s">
        <v>28</v>
      </c>
      <c r="V29" s="14"/>
    </row>
    <row r="30" spans="1:22" x14ac:dyDescent="0.35">
      <c r="J30" s="39">
        <v>8</v>
      </c>
      <c r="K30" s="11" t="s">
        <v>19</v>
      </c>
      <c r="L30" s="7">
        <v>22.58</v>
      </c>
      <c r="M30" s="8">
        <v>1.6</v>
      </c>
      <c r="N30" s="3"/>
      <c r="O30" s="14">
        <v>757</v>
      </c>
      <c r="P30" s="14">
        <v>854</v>
      </c>
      <c r="Q30" s="21" t="s">
        <v>29</v>
      </c>
      <c r="R30" s="14">
        <v>-52</v>
      </c>
      <c r="S30" s="14">
        <v>-99</v>
      </c>
      <c r="T30" s="23" t="s">
        <v>32</v>
      </c>
      <c r="U30" s="22" t="s">
        <v>30</v>
      </c>
      <c r="V30" s="14" t="s">
        <v>31</v>
      </c>
    </row>
    <row r="33" spans="1:19" x14ac:dyDescent="0.35">
      <c r="A33" s="2" t="s">
        <v>1</v>
      </c>
      <c r="B33" s="2" t="s">
        <v>35</v>
      </c>
      <c r="C33" s="26" t="s">
        <v>36</v>
      </c>
      <c r="D33" s="26" t="s">
        <v>37</v>
      </c>
      <c r="E33" s="26" t="s">
        <v>38</v>
      </c>
      <c r="F33" s="26" t="s">
        <v>37</v>
      </c>
      <c r="G33" s="26" t="s">
        <v>39</v>
      </c>
      <c r="H33" s="26" t="s">
        <v>37</v>
      </c>
      <c r="I33" s="26" t="s">
        <v>40</v>
      </c>
      <c r="J33" s="26" t="s">
        <v>37</v>
      </c>
      <c r="K33" s="26" t="s">
        <v>41</v>
      </c>
      <c r="L33" s="26" t="s">
        <v>37</v>
      </c>
      <c r="M33" s="27" t="s">
        <v>42</v>
      </c>
      <c r="N33" s="27" t="s">
        <v>43</v>
      </c>
    </row>
    <row r="34" spans="1:19" x14ac:dyDescent="0.35">
      <c r="A34" s="3">
        <v>1</v>
      </c>
      <c r="B34" s="9" t="s">
        <v>10</v>
      </c>
      <c r="C34" s="14">
        <v>19.3</v>
      </c>
      <c r="D34" s="14">
        <v>2</v>
      </c>
      <c r="E34" s="14">
        <v>10.84</v>
      </c>
      <c r="F34" s="14">
        <v>3</v>
      </c>
      <c r="G34" s="14">
        <v>0.38</v>
      </c>
      <c r="H34" s="14">
        <v>4</v>
      </c>
      <c r="I34" s="14">
        <f>(1455+278)/11337</f>
        <v>0.15286230925288877</v>
      </c>
      <c r="J34" s="14">
        <v>4</v>
      </c>
      <c r="K34" s="14">
        <v>8.57</v>
      </c>
      <c r="L34" s="14">
        <v>2</v>
      </c>
      <c r="M34" s="20">
        <f>D34+F34+H34+J34+L34</f>
        <v>15</v>
      </c>
      <c r="N34" s="13">
        <v>3</v>
      </c>
    </row>
    <row r="35" spans="1:19" x14ac:dyDescent="0.35">
      <c r="A35" s="3">
        <v>2</v>
      </c>
      <c r="B35" s="10" t="s">
        <v>12</v>
      </c>
      <c r="C35" s="14">
        <v>15.27</v>
      </c>
      <c r="D35" s="14">
        <v>3</v>
      </c>
      <c r="E35" s="14">
        <v>11.16</v>
      </c>
      <c r="F35" s="14">
        <v>4</v>
      </c>
      <c r="G35" s="14">
        <v>0.38</v>
      </c>
      <c r="H35" s="14">
        <v>4</v>
      </c>
      <c r="I35" s="14">
        <f>(311+86)/1276</f>
        <v>0.31112852664576801</v>
      </c>
      <c r="J35" s="14">
        <v>3</v>
      </c>
      <c r="K35" s="14">
        <v>6.32</v>
      </c>
      <c r="L35" s="14">
        <v>4</v>
      </c>
      <c r="M35" s="20">
        <f t="shared" ref="M35:M38" si="0">D35+F35+H35+J35+L35</f>
        <v>18</v>
      </c>
      <c r="N35" s="13">
        <v>4</v>
      </c>
    </row>
    <row r="36" spans="1:19" x14ac:dyDescent="0.35">
      <c r="A36" s="3">
        <v>3</v>
      </c>
      <c r="B36" s="10" t="s">
        <v>13</v>
      </c>
      <c r="C36" s="14">
        <v>36.08</v>
      </c>
      <c r="D36" s="14">
        <v>1</v>
      </c>
      <c r="E36" s="14">
        <v>13.83</v>
      </c>
      <c r="F36" s="14">
        <v>5</v>
      </c>
      <c r="G36" s="14">
        <v>0.21</v>
      </c>
      <c r="H36" s="14">
        <v>2</v>
      </c>
      <c r="I36" s="14">
        <f>(867+94)/867</f>
        <v>1.1084198385236448</v>
      </c>
      <c r="J36" s="14">
        <v>1</v>
      </c>
      <c r="K36" s="14">
        <v>7.43</v>
      </c>
      <c r="L36" s="14">
        <v>3</v>
      </c>
      <c r="M36" s="20">
        <f t="shared" si="0"/>
        <v>12</v>
      </c>
      <c r="N36" s="13">
        <v>2</v>
      </c>
    </row>
    <row r="37" spans="1:19" x14ac:dyDescent="0.35">
      <c r="A37" s="3">
        <v>4</v>
      </c>
      <c r="B37" s="10" t="s">
        <v>14</v>
      </c>
      <c r="C37" s="14">
        <v>11.24</v>
      </c>
      <c r="D37" s="14">
        <v>4</v>
      </c>
      <c r="E37" s="14">
        <v>5.1100000000000003</v>
      </c>
      <c r="F37" s="14">
        <v>1</v>
      </c>
      <c r="G37" s="14">
        <v>0.1</v>
      </c>
      <c r="H37" s="14">
        <v>1</v>
      </c>
      <c r="I37" s="14">
        <f>(520+1430)/4014</f>
        <v>0.4857997010463378</v>
      </c>
      <c r="J37" s="14">
        <v>2</v>
      </c>
      <c r="K37" s="14">
        <v>8.9600000000000009</v>
      </c>
      <c r="L37" s="14">
        <v>1</v>
      </c>
      <c r="M37" s="20">
        <f t="shared" si="0"/>
        <v>9</v>
      </c>
      <c r="N37" s="13">
        <v>1</v>
      </c>
    </row>
    <row r="38" spans="1:19" x14ac:dyDescent="0.35">
      <c r="A38" s="3">
        <v>5</v>
      </c>
      <c r="B38" s="10" t="s">
        <v>17</v>
      </c>
      <c r="C38" s="14">
        <v>6.39</v>
      </c>
      <c r="D38" s="14">
        <v>5</v>
      </c>
      <c r="E38" s="14">
        <v>7.19</v>
      </c>
      <c r="F38" s="14">
        <v>2</v>
      </c>
      <c r="G38" s="14">
        <v>0.24</v>
      </c>
      <c r="H38" s="14">
        <v>3</v>
      </c>
      <c r="I38" s="14">
        <f>(46+16)/789</f>
        <v>7.8580481622306714E-2</v>
      </c>
      <c r="J38" s="14">
        <v>5</v>
      </c>
      <c r="K38" s="14">
        <v>3.56</v>
      </c>
      <c r="L38" s="14">
        <v>5</v>
      </c>
      <c r="M38" s="20">
        <f t="shared" si="0"/>
        <v>20</v>
      </c>
      <c r="N38" s="13">
        <v>5</v>
      </c>
    </row>
    <row r="40" spans="1:19" x14ac:dyDescent="0.35">
      <c r="A40" s="33" t="s">
        <v>1</v>
      </c>
      <c r="B40" s="33" t="s">
        <v>35</v>
      </c>
      <c r="C40" s="34" t="s">
        <v>36</v>
      </c>
      <c r="D40" s="34" t="s">
        <v>37</v>
      </c>
      <c r="E40" s="34" t="s">
        <v>44</v>
      </c>
      <c r="F40" s="34" t="s">
        <v>38</v>
      </c>
      <c r="G40" s="34" t="s">
        <v>37</v>
      </c>
      <c r="H40" s="34" t="s">
        <v>44</v>
      </c>
      <c r="I40" s="34" t="s">
        <v>39</v>
      </c>
      <c r="J40" s="34" t="s">
        <v>37</v>
      </c>
      <c r="K40" s="34" t="s">
        <v>44</v>
      </c>
      <c r="L40" s="34" t="s">
        <v>40</v>
      </c>
      <c r="M40" s="34" t="s">
        <v>37</v>
      </c>
      <c r="N40" s="34" t="s">
        <v>44</v>
      </c>
      <c r="O40" s="34" t="s">
        <v>41</v>
      </c>
      <c r="P40" s="34" t="s">
        <v>37</v>
      </c>
      <c r="Q40" s="27" t="s">
        <v>44</v>
      </c>
      <c r="R40" s="27" t="s">
        <v>92</v>
      </c>
      <c r="S40" s="27" t="s">
        <v>43</v>
      </c>
    </row>
    <row r="41" spans="1:19" s="25" customFormat="1" x14ac:dyDescent="0.35">
      <c r="A41" s="35"/>
      <c r="B41" s="35"/>
      <c r="C41" s="86">
        <v>0.3</v>
      </c>
      <c r="D41" s="87"/>
      <c r="E41" s="88"/>
      <c r="F41" s="86">
        <v>0.25</v>
      </c>
      <c r="G41" s="87"/>
      <c r="H41" s="88"/>
      <c r="I41" s="86">
        <v>0.2</v>
      </c>
      <c r="J41" s="87"/>
      <c r="K41" s="88"/>
      <c r="L41" s="86">
        <v>0.15</v>
      </c>
      <c r="M41" s="87"/>
      <c r="N41" s="88"/>
      <c r="O41" s="86">
        <v>0.1</v>
      </c>
      <c r="P41" s="87"/>
      <c r="Q41" s="88"/>
      <c r="R41" s="32"/>
      <c r="S41" s="32"/>
    </row>
    <row r="42" spans="1:19" x14ac:dyDescent="0.35">
      <c r="A42" s="36">
        <v>1</v>
      </c>
      <c r="B42" s="37" t="s">
        <v>10</v>
      </c>
      <c r="C42" s="20">
        <v>19.3</v>
      </c>
      <c r="D42" s="20">
        <v>2</v>
      </c>
      <c r="E42" s="13">
        <f>$C$41*D42</f>
        <v>0.6</v>
      </c>
      <c r="F42" s="20">
        <v>10.84</v>
      </c>
      <c r="G42" s="20">
        <v>3</v>
      </c>
      <c r="H42" s="13">
        <f>$F$41*G42</f>
        <v>0.75</v>
      </c>
      <c r="I42" s="20">
        <v>0.38</v>
      </c>
      <c r="J42" s="20">
        <v>4</v>
      </c>
      <c r="K42" s="13">
        <f>$I$41*J42</f>
        <v>0.8</v>
      </c>
      <c r="L42" s="20">
        <f>(1455+278)/11337</f>
        <v>0.15286230925288877</v>
      </c>
      <c r="M42" s="20">
        <v>4</v>
      </c>
      <c r="N42" s="13">
        <f>$L$41*M42</f>
        <v>0.6</v>
      </c>
      <c r="O42" s="20">
        <v>8.57</v>
      </c>
      <c r="P42" s="20">
        <v>2</v>
      </c>
      <c r="Q42" s="13">
        <f>$O$41*P42</f>
        <v>0.2</v>
      </c>
      <c r="R42" s="20">
        <f>E42+H42+K42+N42+Q42</f>
        <v>2.9500000000000006</v>
      </c>
      <c r="S42" s="13">
        <v>3</v>
      </c>
    </row>
    <row r="43" spans="1:19" x14ac:dyDescent="0.35">
      <c r="A43" s="36">
        <v>2</v>
      </c>
      <c r="B43" s="38" t="s">
        <v>12</v>
      </c>
      <c r="C43" s="20">
        <v>15.27</v>
      </c>
      <c r="D43" s="20">
        <v>3</v>
      </c>
      <c r="E43" s="13">
        <f>$C$41*D43</f>
        <v>0.89999999999999991</v>
      </c>
      <c r="F43" s="20">
        <v>11.16</v>
      </c>
      <c r="G43" s="20">
        <v>4</v>
      </c>
      <c r="H43" s="13">
        <f>$F$41*G43</f>
        <v>1</v>
      </c>
      <c r="I43" s="20">
        <v>0.38</v>
      </c>
      <c r="J43" s="20">
        <v>4</v>
      </c>
      <c r="K43" s="13">
        <f>$I$41*J43</f>
        <v>0.8</v>
      </c>
      <c r="L43" s="20">
        <f>(311+86)/1276</f>
        <v>0.31112852664576801</v>
      </c>
      <c r="M43" s="20">
        <v>3</v>
      </c>
      <c r="N43" s="13">
        <f>$L$41*M43</f>
        <v>0.44999999999999996</v>
      </c>
      <c r="O43" s="20">
        <v>6.32</v>
      </c>
      <c r="P43" s="20">
        <v>4</v>
      </c>
      <c r="Q43" s="13">
        <f>$O$41*P43</f>
        <v>0.4</v>
      </c>
      <c r="R43" s="20">
        <f t="shared" ref="R43:R46" si="1">E43+H43+K43+N43+Q43</f>
        <v>3.5500000000000003</v>
      </c>
      <c r="S43" s="13">
        <v>4</v>
      </c>
    </row>
    <row r="44" spans="1:19" x14ac:dyDescent="0.35">
      <c r="A44" s="36">
        <v>3</v>
      </c>
      <c r="B44" s="38" t="s">
        <v>13</v>
      </c>
      <c r="C44" s="20">
        <v>36.08</v>
      </c>
      <c r="D44" s="20">
        <v>1</v>
      </c>
      <c r="E44" s="13">
        <f>$C$41*D44</f>
        <v>0.3</v>
      </c>
      <c r="F44" s="20">
        <v>13.83</v>
      </c>
      <c r="G44" s="20">
        <v>5</v>
      </c>
      <c r="H44" s="13">
        <f>$F$41*G44</f>
        <v>1.25</v>
      </c>
      <c r="I44" s="20">
        <v>0.21</v>
      </c>
      <c r="J44" s="20">
        <v>2</v>
      </c>
      <c r="K44" s="13">
        <f>$I$41*J44</f>
        <v>0.4</v>
      </c>
      <c r="L44" s="20">
        <f>(867+94)/867</f>
        <v>1.1084198385236448</v>
      </c>
      <c r="M44" s="20">
        <v>1</v>
      </c>
      <c r="N44" s="13">
        <f>$L$41*M44</f>
        <v>0.15</v>
      </c>
      <c r="O44" s="20">
        <v>7.43</v>
      </c>
      <c r="P44" s="20">
        <v>3</v>
      </c>
      <c r="Q44" s="13">
        <f>$O$41*P44</f>
        <v>0.30000000000000004</v>
      </c>
      <c r="R44" s="20">
        <f t="shared" si="1"/>
        <v>2.4000000000000004</v>
      </c>
      <c r="S44" s="13">
        <v>2</v>
      </c>
    </row>
    <row r="45" spans="1:19" x14ac:dyDescent="0.35">
      <c r="A45" s="36">
        <v>4</v>
      </c>
      <c r="B45" s="38" t="s">
        <v>14</v>
      </c>
      <c r="C45" s="20">
        <v>11.24</v>
      </c>
      <c r="D45" s="20">
        <v>4</v>
      </c>
      <c r="E45" s="13">
        <f>$C$41*D45</f>
        <v>1.2</v>
      </c>
      <c r="F45" s="20">
        <v>5.1100000000000003</v>
      </c>
      <c r="G45" s="20">
        <v>1</v>
      </c>
      <c r="H45" s="13">
        <f>$F$41*G45</f>
        <v>0.25</v>
      </c>
      <c r="I45" s="20">
        <v>0.1</v>
      </c>
      <c r="J45" s="20">
        <v>1</v>
      </c>
      <c r="K45" s="13">
        <f>$I$41*J45</f>
        <v>0.2</v>
      </c>
      <c r="L45" s="20">
        <f>(520+1430)/4014</f>
        <v>0.4857997010463378</v>
      </c>
      <c r="M45" s="20">
        <v>2</v>
      </c>
      <c r="N45" s="13">
        <f>$L$41*M45</f>
        <v>0.3</v>
      </c>
      <c r="O45" s="20">
        <v>8.9600000000000009</v>
      </c>
      <c r="P45" s="20">
        <v>1</v>
      </c>
      <c r="Q45" s="13">
        <f>$O$41*P45</f>
        <v>0.1</v>
      </c>
      <c r="R45" s="20">
        <f t="shared" si="1"/>
        <v>2.0499999999999998</v>
      </c>
      <c r="S45" s="13">
        <v>1</v>
      </c>
    </row>
    <row r="46" spans="1:19" x14ac:dyDescent="0.35">
      <c r="A46" s="36">
        <v>5</v>
      </c>
      <c r="B46" s="38" t="s">
        <v>17</v>
      </c>
      <c r="C46" s="20">
        <v>6.39</v>
      </c>
      <c r="D46" s="20">
        <v>5</v>
      </c>
      <c r="E46" s="13">
        <f>$C$41*D46</f>
        <v>1.5</v>
      </c>
      <c r="F46" s="20">
        <v>7.19</v>
      </c>
      <c r="G46" s="20">
        <v>2</v>
      </c>
      <c r="H46" s="13">
        <f>$F$41*G46</f>
        <v>0.5</v>
      </c>
      <c r="I46" s="20">
        <v>0.24</v>
      </c>
      <c r="J46" s="20">
        <v>3</v>
      </c>
      <c r="K46" s="13">
        <f>$I$41*J46</f>
        <v>0.60000000000000009</v>
      </c>
      <c r="L46" s="20">
        <f>(46+16)/789</f>
        <v>7.8580481622306714E-2</v>
      </c>
      <c r="M46" s="20">
        <v>5</v>
      </c>
      <c r="N46" s="13">
        <f>$L$41*M46</f>
        <v>0.75</v>
      </c>
      <c r="O46" s="20">
        <v>3.56</v>
      </c>
      <c r="P46" s="20">
        <v>5</v>
      </c>
      <c r="Q46" s="13">
        <f>$O$41*P46</f>
        <v>0.5</v>
      </c>
      <c r="R46" s="20">
        <f t="shared" si="1"/>
        <v>3.85</v>
      </c>
      <c r="S46" s="13">
        <v>5</v>
      </c>
    </row>
  </sheetData>
  <mergeCells count="10">
    <mergeCell ref="C41:E41"/>
    <mergeCell ref="F41:H41"/>
    <mergeCell ref="I41:K41"/>
    <mergeCell ref="L41:N41"/>
    <mergeCell ref="O41:Q41"/>
    <mergeCell ref="A1:E1"/>
    <mergeCell ref="J20:V20"/>
    <mergeCell ref="A21:E21"/>
    <mergeCell ref="O21:Q21"/>
    <mergeCell ref="R21:T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A1BA-1B3F-4627-B000-3B7288A887CD}">
  <dimension ref="A1:W26"/>
  <sheetViews>
    <sheetView zoomScale="83" zoomScaleNormal="100" workbookViewId="0">
      <pane xSplit="1" topLeftCell="B1" activePane="topRight" state="frozen"/>
      <selection pane="topRight" activeCell="Q29" sqref="Q29"/>
    </sheetView>
  </sheetViews>
  <sheetFormatPr defaultRowHeight="15.6" x14ac:dyDescent="0.3"/>
  <cols>
    <col min="1" max="1" width="26.88671875" style="44" bestFit="1" customWidth="1"/>
    <col min="2" max="2" width="17.88671875" style="40" bestFit="1" customWidth="1"/>
    <col min="3" max="3" width="14.6640625" style="40" bestFit="1" customWidth="1"/>
    <col min="4" max="4" width="15.88671875" style="40" bestFit="1" customWidth="1"/>
    <col min="5" max="5" width="16" style="40" bestFit="1" customWidth="1"/>
    <col min="6" max="6" width="14.6640625" style="40" bestFit="1" customWidth="1"/>
    <col min="7" max="7" width="17.5546875" style="40" bestFit="1" customWidth="1"/>
    <col min="8" max="8" width="16.21875" style="40" bestFit="1" customWidth="1"/>
    <col min="9" max="9" width="17.5546875" style="40" bestFit="1" customWidth="1"/>
    <col min="10" max="10" width="12.109375" style="40" bestFit="1" customWidth="1"/>
    <col min="11" max="11" width="8.88671875" style="40"/>
    <col min="12" max="12" width="25.77734375" style="40" bestFit="1" customWidth="1"/>
    <col min="13" max="13" width="8.88671875" style="40"/>
    <col min="14" max="14" width="25.77734375" style="40" bestFit="1" customWidth="1"/>
    <col min="15" max="16384" width="8.88671875" style="40"/>
  </cols>
  <sheetData>
    <row r="1" spans="1:23" s="52" customFormat="1" ht="23.4" x14ac:dyDescent="0.45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</row>
    <row r="2" spans="1:23" ht="16.2" thickBot="1" x14ac:dyDescent="0.3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ht="16.2" thickBot="1" x14ac:dyDescent="0.35">
      <c r="A3" s="75" t="s">
        <v>78</v>
      </c>
      <c r="B3" s="76"/>
      <c r="C3" s="76"/>
      <c r="D3" s="77"/>
      <c r="E3" s="42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</row>
    <row r="4" spans="1:23" x14ac:dyDescent="0.3">
      <c r="A4" s="50"/>
      <c r="B4" s="50"/>
      <c r="C4" s="50"/>
      <c r="D4" s="50"/>
      <c r="E4" s="41"/>
      <c r="F4" s="71"/>
      <c r="G4" s="72"/>
      <c r="H4" s="71"/>
      <c r="I4" s="72"/>
    </row>
    <row r="5" spans="1:23" s="43" customFormat="1" x14ac:dyDescent="0.3">
      <c r="A5" s="53" t="s">
        <v>99</v>
      </c>
      <c r="B5" s="53" t="s">
        <v>96</v>
      </c>
      <c r="C5" s="53" t="s">
        <v>77</v>
      </c>
      <c r="D5" s="53" t="s">
        <v>97</v>
      </c>
    </row>
    <row r="6" spans="1:23" x14ac:dyDescent="0.3">
      <c r="A6" s="47" t="s">
        <v>80</v>
      </c>
      <c r="B6" s="46">
        <v>149</v>
      </c>
      <c r="C6" s="46">
        <f>D6/B6</f>
        <v>234899.32885906039</v>
      </c>
      <c r="D6" s="46">
        <v>35000000</v>
      </c>
    </row>
    <row r="7" spans="1:23" x14ac:dyDescent="0.3">
      <c r="A7" s="47" t="s">
        <v>81</v>
      </c>
      <c r="B7" s="46">
        <v>81.61</v>
      </c>
      <c r="C7" s="46">
        <f t="shared" ref="C7:C10" si="0">D7/B7</f>
        <v>367602.00955765223</v>
      </c>
      <c r="D7" s="46">
        <v>30000000</v>
      </c>
    </row>
    <row r="8" spans="1:23" x14ac:dyDescent="0.3">
      <c r="A8" s="47" t="s">
        <v>82</v>
      </c>
      <c r="B8" s="46">
        <v>753.65</v>
      </c>
      <c r="C8" s="46">
        <f t="shared" si="0"/>
        <v>26537.517415245806</v>
      </c>
      <c r="D8" s="46">
        <v>20000000</v>
      </c>
    </row>
    <row r="9" spans="1:23" x14ac:dyDescent="0.3">
      <c r="A9" s="47" t="s">
        <v>83</v>
      </c>
      <c r="B9" s="46">
        <v>561.85</v>
      </c>
      <c r="C9" s="46">
        <f t="shared" si="0"/>
        <v>17798.344753937883</v>
      </c>
      <c r="D9" s="46">
        <v>10000000</v>
      </c>
    </row>
    <row r="10" spans="1:23" x14ac:dyDescent="0.3">
      <c r="A10" s="47" t="s">
        <v>84</v>
      </c>
      <c r="B10" s="46">
        <v>37.18</v>
      </c>
      <c r="C10" s="46">
        <f t="shared" si="0"/>
        <v>134480.90371167293</v>
      </c>
      <c r="D10" s="46">
        <v>5000000</v>
      </c>
    </row>
    <row r="11" spans="1:23" x14ac:dyDescent="0.3">
      <c r="A11" s="47"/>
      <c r="B11" s="46"/>
      <c r="C11" s="46"/>
      <c r="D11" s="47">
        <f>SUM(D6:D10)</f>
        <v>100000000</v>
      </c>
      <c r="E11" s="44"/>
      <c r="G11" s="44"/>
      <c r="I11" s="44"/>
    </row>
    <row r="14" spans="1:23" x14ac:dyDescent="0.3">
      <c r="G14" s="45"/>
    </row>
    <row r="16" spans="1:23" ht="16.2" thickBot="1" x14ac:dyDescent="0.35">
      <c r="A16" s="68" t="s">
        <v>98</v>
      </c>
      <c r="B16" s="68"/>
      <c r="C16" s="68"/>
      <c r="D16" s="68"/>
      <c r="E16" s="68"/>
      <c r="F16" s="68"/>
      <c r="G16" s="68"/>
      <c r="H16" s="68"/>
    </row>
    <row r="17" spans="1:14" ht="16.2" thickBot="1" x14ac:dyDescent="0.35">
      <c r="A17" s="51"/>
      <c r="B17" s="48"/>
      <c r="C17" s="73">
        <v>46164</v>
      </c>
      <c r="D17" s="73"/>
      <c r="E17" s="73"/>
      <c r="F17" s="73">
        <v>46167</v>
      </c>
      <c r="G17" s="74"/>
      <c r="H17" s="49"/>
    </row>
    <row r="18" spans="1:14" s="55" customFormat="1" x14ac:dyDescent="0.3">
      <c r="A18" s="54" t="s">
        <v>99</v>
      </c>
      <c r="B18" s="54" t="s">
        <v>77</v>
      </c>
      <c r="C18" s="54" t="s">
        <v>79</v>
      </c>
      <c r="D18" s="54" t="s">
        <v>86</v>
      </c>
      <c r="E18" s="54" t="s">
        <v>85</v>
      </c>
      <c r="F18" s="54" t="s">
        <v>94</v>
      </c>
      <c r="G18" s="54" t="s">
        <v>95</v>
      </c>
      <c r="H18" s="54" t="s">
        <v>85</v>
      </c>
      <c r="I18" s="54" t="s">
        <v>102</v>
      </c>
      <c r="J18" s="54" t="s">
        <v>103</v>
      </c>
      <c r="K18" s="54" t="s">
        <v>102</v>
      </c>
      <c r="L18" s="54" t="s">
        <v>104</v>
      </c>
      <c r="M18" s="54" t="s">
        <v>102</v>
      </c>
      <c r="N18" s="54" t="s">
        <v>104</v>
      </c>
    </row>
    <row r="19" spans="1:14" x14ac:dyDescent="0.3">
      <c r="A19" s="47" t="s">
        <v>80</v>
      </c>
      <c r="B19" s="46">
        <v>234899.32885906039</v>
      </c>
      <c r="C19" s="46">
        <v>143.59</v>
      </c>
      <c r="D19" s="46">
        <f>C19*B19</f>
        <v>33729194.630872481</v>
      </c>
      <c r="E19" s="46"/>
      <c r="F19" s="46">
        <v>141.29</v>
      </c>
      <c r="G19" s="46">
        <f>F19*B19</f>
        <v>33188926.17449664</v>
      </c>
      <c r="H19" s="46"/>
      <c r="I19" s="40">
        <v>149.99</v>
      </c>
      <c r="J19" s="40">
        <f>I19*B19</f>
        <v>35232550.335570469</v>
      </c>
      <c r="K19" s="40">
        <v>152.28</v>
      </c>
      <c r="L19" s="40">
        <f>K19*B19</f>
        <v>35770469.798657715</v>
      </c>
      <c r="M19" s="40">
        <v>148.13999999999999</v>
      </c>
      <c r="N19" s="40">
        <f>M19*B19</f>
        <v>34797986.577181205</v>
      </c>
    </row>
    <row r="20" spans="1:14" x14ac:dyDescent="0.3">
      <c r="A20" s="47" t="s">
        <v>81</v>
      </c>
      <c r="B20" s="46">
        <v>367602.00955765223</v>
      </c>
      <c r="C20" s="46">
        <v>72.03</v>
      </c>
      <c r="D20" s="46">
        <f t="shared" ref="D20:D23" si="1">C20*B20</f>
        <v>26478372.748437691</v>
      </c>
      <c r="E20" s="46"/>
      <c r="F20" s="46">
        <v>72.89</v>
      </c>
      <c r="G20" s="46">
        <f t="shared" ref="G20:G23" si="2">F20*B20</f>
        <v>26794510.476657271</v>
      </c>
      <c r="H20" s="46"/>
      <c r="I20" s="40">
        <v>73.59</v>
      </c>
      <c r="J20" s="40">
        <f t="shared" ref="J20:J23" si="3">I20*B20</f>
        <v>27051831.883347631</v>
      </c>
      <c r="K20" s="40">
        <v>72.760000000000005</v>
      </c>
      <c r="L20" s="40">
        <f t="shared" ref="L20:L23" si="4">K20*B20</f>
        <v>26746722.215414777</v>
      </c>
      <c r="M20" s="40">
        <v>72.37</v>
      </c>
      <c r="N20" s="40">
        <f t="shared" ref="N20:N23" si="5">M20*B20</f>
        <v>26603357.431687292</v>
      </c>
    </row>
    <row r="21" spans="1:14" x14ac:dyDescent="0.3">
      <c r="A21" s="47" t="s">
        <v>82</v>
      </c>
      <c r="B21" s="46">
        <v>26537.517415245806</v>
      </c>
      <c r="C21" s="46">
        <v>736.65</v>
      </c>
      <c r="D21" s="46">
        <f t="shared" si="1"/>
        <v>19548862.203940824</v>
      </c>
      <c r="E21" s="46"/>
      <c r="F21" s="46">
        <v>731.9</v>
      </c>
      <c r="G21" s="46">
        <f t="shared" si="2"/>
        <v>19422808.996218406</v>
      </c>
      <c r="H21" s="46"/>
      <c r="I21" s="40">
        <v>727.75</v>
      </c>
      <c r="J21" s="40">
        <f t="shared" si="3"/>
        <v>19312678.298945136</v>
      </c>
      <c r="K21" s="40">
        <v>722.2</v>
      </c>
      <c r="L21" s="40">
        <f t="shared" si="4"/>
        <v>19165395.077290524</v>
      </c>
      <c r="M21" s="40">
        <v>685.1</v>
      </c>
      <c r="N21" s="40">
        <f t="shared" si="5"/>
        <v>18180853.181184903</v>
      </c>
    </row>
    <row r="22" spans="1:14" x14ac:dyDescent="0.3">
      <c r="A22" s="47" t="s">
        <v>83</v>
      </c>
      <c r="B22" s="46">
        <v>17798.344753937883</v>
      </c>
      <c r="C22" s="46">
        <v>568.35</v>
      </c>
      <c r="D22" s="46">
        <f t="shared" si="1"/>
        <v>10115689.240900597</v>
      </c>
      <c r="E22" s="46"/>
      <c r="F22" s="46">
        <v>45.02</v>
      </c>
      <c r="G22" s="46">
        <f t="shared" si="2"/>
        <v>801281.48082228354</v>
      </c>
      <c r="H22" s="46"/>
      <c r="I22" s="40">
        <v>532.9</v>
      </c>
      <c r="J22" s="40">
        <f t="shared" si="3"/>
        <v>9484737.9193734974</v>
      </c>
      <c r="K22" s="40">
        <v>521.54999999999995</v>
      </c>
      <c r="L22" s="40">
        <f t="shared" si="4"/>
        <v>9282726.7064163014</v>
      </c>
      <c r="M22" s="40">
        <v>511.95</v>
      </c>
      <c r="N22" s="40">
        <f t="shared" si="5"/>
        <v>9111862.596778499</v>
      </c>
    </row>
    <row r="23" spans="1:14" x14ac:dyDescent="0.3">
      <c r="A23" s="47" t="s">
        <v>84</v>
      </c>
      <c r="B23" s="46">
        <v>134480.90371167293</v>
      </c>
      <c r="C23" s="46">
        <v>38.869999999999997</v>
      </c>
      <c r="D23" s="46">
        <f t="shared" si="1"/>
        <v>5227272.7272727266</v>
      </c>
      <c r="E23" s="46"/>
      <c r="F23" s="46">
        <v>38.42</v>
      </c>
      <c r="G23" s="46">
        <f t="shared" si="2"/>
        <v>5166756.3206024738</v>
      </c>
      <c r="H23" s="46"/>
      <c r="I23" s="40">
        <v>38.08</v>
      </c>
      <c r="J23" s="40">
        <f t="shared" si="3"/>
        <v>5121032.8133405047</v>
      </c>
      <c r="K23" s="40">
        <v>37.99</v>
      </c>
      <c r="L23" s="40">
        <f t="shared" si="4"/>
        <v>5108929.5320064547</v>
      </c>
      <c r="M23" s="40">
        <v>37.69</v>
      </c>
      <c r="N23" s="40">
        <f t="shared" si="5"/>
        <v>5068585.2608929528</v>
      </c>
    </row>
    <row r="24" spans="1:14" x14ac:dyDescent="0.3">
      <c r="A24" s="47"/>
      <c r="B24" s="46"/>
      <c r="C24" s="46"/>
      <c r="D24" s="47">
        <f>SUM(D19:D23)</f>
        <v>95099391.551424325</v>
      </c>
      <c r="E24" s="47">
        <f>D24/D11</f>
        <v>0.95099391551424328</v>
      </c>
      <c r="F24" s="46"/>
      <c r="G24" s="47">
        <f>SUM(G19:G23)</f>
        <v>85374283.448797062</v>
      </c>
      <c r="H24" s="47">
        <f>G24/D11</f>
        <v>0.85374283448797061</v>
      </c>
      <c r="J24" s="40">
        <f>SUM(J19:J23)</f>
        <v>96202831.250577241</v>
      </c>
      <c r="L24" s="40">
        <f>SUM(L19:L23)</f>
        <v>96074243.329785779</v>
      </c>
      <c r="N24" s="40">
        <f>SUM(N19:N23)</f>
        <v>93762645.047724858</v>
      </c>
    </row>
    <row r="26" spans="1:14" x14ac:dyDescent="0.3">
      <c r="J26" s="40">
        <f>J24/D11</f>
        <v>0.96202831250577236</v>
      </c>
      <c r="L26" s="40">
        <f>L24/10000000</f>
        <v>9.607424332978578</v>
      </c>
      <c r="N26" s="40">
        <f>N24/10000000</f>
        <v>9.376264504772486</v>
      </c>
    </row>
  </sheetData>
  <mergeCells count="7">
    <mergeCell ref="A16:H16"/>
    <mergeCell ref="A1:W1"/>
    <mergeCell ref="F4:G4"/>
    <mergeCell ref="H4:I4"/>
    <mergeCell ref="F17:G17"/>
    <mergeCell ref="A3:D3"/>
    <mergeCell ref="C17:E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40753-E27C-44D9-9992-5D39C6FE87E9}">
  <dimension ref="A1:W22"/>
  <sheetViews>
    <sheetView zoomScale="80" workbookViewId="0">
      <pane xSplit="2" topLeftCell="O1" activePane="topRight" state="frozen"/>
      <selection pane="topRight" activeCell="T23" sqref="T23"/>
    </sheetView>
  </sheetViews>
  <sheetFormatPr defaultRowHeight="15.6" x14ac:dyDescent="0.3"/>
  <cols>
    <col min="1" max="1" width="8.88671875" style="40"/>
    <col min="2" max="2" width="26" style="55" customWidth="1"/>
    <col min="3" max="3" width="19.109375" style="40" bestFit="1" customWidth="1"/>
    <col min="4" max="4" width="20.77734375" style="40" bestFit="1" customWidth="1"/>
    <col min="5" max="5" width="15.109375" style="40" bestFit="1" customWidth="1"/>
    <col min="6" max="6" width="14.44140625" style="40" bestFit="1" customWidth="1"/>
    <col min="7" max="7" width="10.109375" style="40" bestFit="1" customWidth="1"/>
    <col min="8" max="8" width="21.33203125" style="40" bestFit="1" customWidth="1"/>
    <col min="9" max="9" width="14.5546875" style="40" bestFit="1" customWidth="1"/>
    <col min="10" max="10" width="10.109375" style="40" bestFit="1" customWidth="1"/>
    <col min="11" max="11" width="11.88671875" style="40" bestFit="1" customWidth="1"/>
    <col min="12" max="13" width="8.88671875" style="40"/>
    <col min="14" max="14" width="23.44140625" style="40" bestFit="1" customWidth="1"/>
    <col min="15" max="16" width="8.88671875" style="40"/>
    <col min="17" max="17" width="22.33203125" style="40" bestFit="1" customWidth="1"/>
    <col min="18" max="19" width="8.88671875" style="40"/>
    <col min="20" max="20" width="22.33203125" style="40" bestFit="1" customWidth="1"/>
    <col min="21" max="16384" width="8.88671875" style="40"/>
  </cols>
  <sheetData>
    <row r="1" spans="1:23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</row>
    <row r="2" spans="1:23" x14ac:dyDescent="0.3">
      <c r="A2" s="41"/>
      <c r="B2" s="41"/>
      <c r="C2" s="41"/>
      <c r="F2" s="41"/>
      <c r="G2" s="41"/>
      <c r="H2" s="41"/>
      <c r="I2" s="41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</row>
    <row r="3" spans="1:23" x14ac:dyDescent="0.3">
      <c r="O3" s="91">
        <v>46169</v>
      </c>
      <c r="P3" s="92"/>
      <c r="Q3" s="92"/>
      <c r="R3" s="91">
        <v>46170</v>
      </c>
      <c r="S3" s="92"/>
      <c r="T3" s="92"/>
    </row>
    <row r="4" spans="1:23" x14ac:dyDescent="0.3">
      <c r="A4" s="2" t="s">
        <v>1</v>
      </c>
      <c r="B4" s="57" t="s">
        <v>2</v>
      </c>
      <c r="C4" s="2" t="s">
        <v>3</v>
      </c>
      <c r="D4" s="2" t="s">
        <v>4</v>
      </c>
      <c r="E4" s="2" t="s">
        <v>63</v>
      </c>
      <c r="F4" s="2" t="s">
        <v>72</v>
      </c>
      <c r="G4" s="2" t="s">
        <v>73</v>
      </c>
      <c r="H4" s="2" t="s">
        <v>74</v>
      </c>
      <c r="I4" s="2" t="s">
        <v>91</v>
      </c>
      <c r="J4" s="2" t="s">
        <v>73</v>
      </c>
      <c r="K4" s="2" t="s">
        <v>74</v>
      </c>
      <c r="L4" s="2" t="s">
        <v>100</v>
      </c>
      <c r="M4" s="2" t="s">
        <v>73</v>
      </c>
      <c r="N4" s="2" t="s">
        <v>74</v>
      </c>
      <c r="O4" s="2" t="s">
        <v>105</v>
      </c>
      <c r="P4" s="2" t="s">
        <v>73</v>
      </c>
      <c r="Q4" s="2" t="s">
        <v>74</v>
      </c>
      <c r="R4" s="2" t="s">
        <v>105</v>
      </c>
      <c r="S4" s="2" t="s">
        <v>73</v>
      </c>
      <c r="T4" s="2" t="s">
        <v>74</v>
      </c>
    </row>
    <row r="5" spans="1:23" x14ac:dyDescent="0.3">
      <c r="A5" s="3">
        <v>1</v>
      </c>
      <c r="B5" s="58" t="s">
        <v>6</v>
      </c>
      <c r="C5" s="5">
        <v>309227.65000000002</v>
      </c>
      <c r="D5" s="6">
        <v>1264.5</v>
      </c>
      <c r="E5" s="63">
        <f t="shared" ref="E5:E18" si="0">C5/$C$19</f>
        <v>0.3501049043318597</v>
      </c>
      <c r="F5" s="46">
        <v>314363.11</v>
      </c>
      <c r="G5" s="63">
        <f>(F5-C5)/C5</f>
        <v>1.6607376474904369E-2</v>
      </c>
      <c r="H5" s="64">
        <f>G5*E5</f>
        <v>5.8143239519495718E-3</v>
      </c>
      <c r="I5" s="46">
        <v>1289.4000000000001</v>
      </c>
      <c r="L5" s="40">
        <v>1293.5999999999999</v>
      </c>
      <c r="M5" s="65">
        <f>(L5-D5)/D5</f>
        <v>2.3013048635824363E-2</v>
      </c>
      <c r="N5" s="66">
        <f>M5*E5</f>
        <v>8.0569811910297228E-3</v>
      </c>
      <c r="O5" s="40">
        <v>1309.3</v>
      </c>
      <c r="P5" s="65">
        <f>(O5-D5)/D5</f>
        <v>3.5429023329379167E-2</v>
      </c>
      <c r="Q5" s="67">
        <f>P5*E5</f>
        <v>1.2403874823303518E-2</v>
      </c>
      <c r="R5" s="40">
        <v>1278</v>
      </c>
      <c r="S5" s="65">
        <f>(R5-D5)/D5</f>
        <v>1.0676156583629894E-2</v>
      </c>
      <c r="T5" s="66">
        <f>S5*E5</f>
        <v>3.7377747793436978E-3</v>
      </c>
    </row>
    <row r="6" spans="1:23" x14ac:dyDescent="0.3">
      <c r="A6" s="3">
        <v>2</v>
      </c>
      <c r="B6" s="58" t="s">
        <v>7</v>
      </c>
      <c r="C6" s="7">
        <v>263851.83</v>
      </c>
      <c r="D6" s="6">
        <v>211.36</v>
      </c>
      <c r="E6" s="63">
        <f t="shared" si="0"/>
        <v>0.29873078846583129</v>
      </c>
      <c r="F6" s="46">
        <v>261142.9</v>
      </c>
      <c r="G6" s="63">
        <f t="shared" ref="G6:G18" si="1">(F6-C6)/C6</f>
        <v>-1.026686076045037E-2</v>
      </c>
      <c r="H6" s="64">
        <f t="shared" ref="H6:H18" si="2">G6*E6</f>
        <v>-3.0670274100382433E-3</v>
      </c>
      <c r="I6" s="46">
        <v>210.22</v>
      </c>
      <c r="L6" s="40">
        <v>210.47</v>
      </c>
      <c r="M6" s="65">
        <f t="shared" ref="M6:M18" si="3">(L6-D6)/D6</f>
        <v>-4.2108251324754669E-3</v>
      </c>
      <c r="N6" s="66">
        <f t="shared" ref="N6:N18" si="4">M6*E6</f>
        <v>-1.2579031119161347E-3</v>
      </c>
      <c r="O6" s="40">
        <v>214.7</v>
      </c>
      <c r="P6" s="65">
        <f t="shared" ref="P6:P18" si="5">(O6-D6)/D6</f>
        <v>1.5802422407267102E-2</v>
      </c>
      <c r="Q6" s="67">
        <f t="shared" ref="Q6:Q18" si="6">P6*E6</f>
        <v>4.7206701053930213E-3</v>
      </c>
      <c r="R6" s="40">
        <v>208.02</v>
      </c>
      <c r="S6" s="65">
        <f t="shared" ref="S6:S18" si="7">(R6-D6)/D6</f>
        <v>-1.5802422407267237E-2</v>
      </c>
      <c r="T6" s="66">
        <f t="shared" ref="T6:T18" si="8">S6*E6</f>
        <v>-4.7206701053930612E-3</v>
      </c>
    </row>
    <row r="7" spans="1:23" x14ac:dyDescent="0.3">
      <c r="A7" s="3">
        <v>3</v>
      </c>
      <c r="B7" s="58" t="s">
        <v>8</v>
      </c>
      <c r="C7" s="5">
        <v>124766.98</v>
      </c>
      <c r="D7" s="6">
        <v>1223.0999999999999</v>
      </c>
      <c r="E7" s="63">
        <f t="shared" si="0"/>
        <v>0.14126010916771203</v>
      </c>
      <c r="F7" s="46">
        <v>123420.46</v>
      </c>
      <c r="G7" s="63">
        <f t="shared" si="1"/>
        <v>-1.0792278533951769E-2</v>
      </c>
      <c r="H7" s="64">
        <f t="shared" si="2"/>
        <v>-1.524518443874382E-3</v>
      </c>
      <c r="I7" s="46">
        <v>1212.3</v>
      </c>
      <c r="L7" s="40">
        <v>1222.9000000000001</v>
      </c>
      <c r="M7" s="65">
        <f t="shared" si="3"/>
        <v>-1.6351892731568811E-4</v>
      </c>
      <c r="N7" s="66">
        <f t="shared" si="4"/>
        <v>-2.3098701523601272E-5</v>
      </c>
      <c r="O7" s="40">
        <v>1220.5999999999999</v>
      </c>
      <c r="P7" s="65">
        <f t="shared" si="5"/>
        <v>-2.0439865914479603E-3</v>
      </c>
      <c r="Q7" s="67">
        <f t="shared" si="6"/>
        <v>-2.8873376904527847E-4</v>
      </c>
      <c r="R7" s="40">
        <v>1207.2</v>
      </c>
      <c r="S7" s="65">
        <f t="shared" si="7"/>
        <v>-1.2999754721608916E-2</v>
      </c>
      <c r="T7" s="66">
        <f t="shared" si="8"/>
        <v>-1.8363467711279553E-3</v>
      </c>
    </row>
    <row r="8" spans="1:23" x14ac:dyDescent="0.3">
      <c r="A8" s="3">
        <v>4</v>
      </c>
      <c r="B8" s="58" t="s">
        <v>9</v>
      </c>
      <c r="C8" s="7">
        <v>76257.759999999995</v>
      </c>
      <c r="D8" s="8">
        <v>184.62</v>
      </c>
      <c r="E8" s="63">
        <f t="shared" si="0"/>
        <v>8.6338384582885508E-2</v>
      </c>
      <c r="F8" s="46">
        <v>83110.3</v>
      </c>
      <c r="G8" s="63">
        <f t="shared" si="1"/>
        <v>8.9860231929183451E-2</v>
      </c>
      <c r="H8" s="64">
        <f t="shared" si="2"/>
        <v>7.7583872630091286E-3</v>
      </c>
      <c r="I8" s="46">
        <v>198.32</v>
      </c>
      <c r="L8" s="40">
        <v>203.84</v>
      </c>
      <c r="M8" s="65">
        <f t="shared" si="3"/>
        <v>0.10410573069006607</v>
      </c>
      <c r="N8" s="66">
        <f t="shared" si="4"/>
        <v>8.9883206136012316E-3</v>
      </c>
      <c r="O8" s="40">
        <v>206.06</v>
      </c>
      <c r="P8" s="65">
        <f t="shared" si="5"/>
        <v>0.1161304300725815</v>
      </c>
      <c r="Q8" s="67">
        <f t="shared" si="6"/>
        <v>1.0026513733382434E-2</v>
      </c>
      <c r="R8" s="40">
        <v>204.37</v>
      </c>
      <c r="S8" s="65">
        <f t="shared" si="7"/>
        <v>0.1069764922543603</v>
      </c>
      <c r="T8" s="66">
        <f t="shared" si="8"/>
        <v>9.236177529585032E-3</v>
      </c>
    </row>
    <row r="9" spans="1:23" ht="16.2" customHeight="1" x14ac:dyDescent="0.3">
      <c r="A9" s="3">
        <v>5</v>
      </c>
      <c r="B9" s="59" t="s">
        <v>10</v>
      </c>
      <c r="C9" s="7">
        <v>63265.96</v>
      </c>
      <c r="D9" s="7">
        <v>767.4</v>
      </c>
      <c r="E9" s="63">
        <f t="shared" si="0"/>
        <v>7.1629179581008562E-2</v>
      </c>
      <c r="F9" s="46">
        <v>60730.87</v>
      </c>
      <c r="G9" s="63">
        <f t="shared" si="1"/>
        <v>-4.0070363272761478E-2</v>
      </c>
      <c r="H9" s="64">
        <f t="shared" si="2"/>
        <v>-2.8702072467408817E-3</v>
      </c>
      <c r="I9" s="46">
        <v>731.9</v>
      </c>
      <c r="L9" s="40">
        <v>727.75</v>
      </c>
      <c r="M9" s="65">
        <f t="shared" si="3"/>
        <v>-5.1667969768047925E-2</v>
      </c>
      <c r="N9" s="66">
        <f t="shared" si="4"/>
        <v>-3.7009342851016262E-3</v>
      </c>
      <c r="O9" s="40">
        <v>722.2</v>
      </c>
      <c r="P9" s="65">
        <f t="shared" si="5"/>
        <v>-5.8900182434193295E-2</v>
      </c>
      <c r="Q9" s="67">
        <f t="shared" si="6"/>
        <v>-4.2189717449329974E-3</v>
      </c>
      <c r="R9" s="40">
        <v>685.1</v>
      </c>
      <c r="S9" s="65">
        <f t="shared" si="7"/>
        <v>-0.10724524367995825</v>
      </c>
      <c r="T9" s="66">
        <f t="shared" si="8"/>
        <v>-7.6818888187607523E-3</v>
      </c>
    </row>
    <row r="10" spans="1:23" x14ac:dyDescent="0.3">
      <c r="A10" s="3">
        <v>7</v>
      </c>
      <c r="B10" s="60" t="s">
        <v>12</v>
      </c>
      <c r="C10" s="7">
        <v>20845.11</v>
      </c>
      <c r="D10" s="8">
        <v>591.54999999999995</v>
      </c>
      <c r="E10" s="63">
        <f t="shared" si="0"/>
        <v>2.3600655511682386E-2</v>
      </c>
      <c r="F10" s="46">
        <v>20027.59</v>
      </c>
      <c r="G10" s="63">
        <f t="shared" si="1"/>
        <v>-3.9218790402161488E-2</v>
      </c>
      <c r="H10" s="64">
        <f t="shared" si="2"/>
        <v>-9.2558916186628881E-4</v>
      </c>
      <c r="I10" s="46">
        <v>543.9</v>
      </c>
      <c r="L10" s="40">
        <v>532.9</v>
      </c>
      <c r="M10" s="65">
        <f t="shared" si="3"/>
        <v>-9.9146310540106475E-2</v>
      </c>
      <c r="N10" s="66">
        <f t="shared" si="4"/>
        <v>-2.3399179203113371E-3</v>
      </c>
      <c r="O10" s="40">
        <v>521.54999999999995</v>
      </c>
      <c r="P10" s="65">
        <f t="shared" si="5"/>
        <v>-0.11833319246048518</v>
      </c>
      <c r="Q10" s="67">
        <f t="shared" si="6"/>
        <v>-2.7927409108575219E-3</v>
      </c>
      <c r="R10" s="40">
        <v>511.95</v>
      </c>
      <c r="S10" s="65">
        <f t="shared" si="7"/>
        <v>-0.13456174456935166</v>
      </c>
      <c r="T10" s="66">
        <f t="shared" si="8"/>
        <v>-3.1757453786322664E-3</v>
      </c>
    </row>
    <row r="11" spans="1:23" x14ac:dyDescent="0.3">
      <c r="A11" s="3">
        <v>6</v>
      </c>
      <c r="B11" s="58" t="s">
        <v>11</v>
      </c>
      <c r="C11" s="7">
        <v>12519.55</v>
      </c>
      <c r="D11" s="8">
        <v>42.72</v>
      </c>
      <c r="E11" s="63">
        <f t="shared" si="0"/>
        <v>1.4174527585188237E-2</v>
      </c>
      <c r="F11" s="46">
        <v>12941.56</v>
      </c>
      <c r="G11" s="63">
        <f>(F11-C11)/C11</f>
        <v>3.3708080562001051E-2</v>
      </c>
      <c r="H11" s="64">
        <f>G11*E11</f>
        <v>4.7779611776983133E-4</v>
      </c>
      <c r="I11" s="46">
        <v>45.02</v>
      </c>
      <c r="L11" s="40">
        <v>45.21</v>
      </c>
      <c r="M11" s="65">
        <f t="shared" si="3"/>
        <v>5.8286516853932629E-2</v>
      </c>
      <c r="N11" s="66">
        <f t="shared" si="4"/>
        <v>8.2618384099060721E-4</v>
      </c>
      <c r="O11" s="40">
        <v>46.01</v>
      </c>
      <c r="P11" s="65">
        <f t="shared" si="5"/>
        <v>7.701310861423219E-2</v>
      </c>
      <c r="Q11" s="67">
        <f t="shared" si="6"/>
        <v>1.0916244324735321E-3</v>
      </c>
      <c r="R11" s="40">
        <v>44.62</v>
      </c>
      <c r="S11" s="65">
        <f t="shared" si="7"/>
        <v>4.447565543071158E-2</v>
      </c>
      <c r="T11" s="66">
        <f t="shared" si="8"/>
        <v>6.3042140477194831E-4</v>
      </c>
    </row>
    <row r="12" spans="1:23" x14ac:dyDescent="0.3">
      <c r="A12" s="3">
        <v>8</v>
      </c>
      <c r="B12" s="60" t="s">
        <v>13</v>
      </c>
      <c r="C12" s="7">
        <v>7142.32</v>
      </c>
      <c r="D12" s="8">
        <v>78.290000000000006</v>
      </c>
      <c r="E12" s="63">
        <f t="shared" si="0"/>
        <v>8.0864737041061105E-3</v>
      </c>
      <c r="F12" s="46">
        <v>6571.22</v>
      </c>
      <c r="G12" s="63">
        <f t="shared" si="1"/>
        <v>-7.9960012992977003E-2</v>
      </c>
      <c r="H12" s="64">
        <f t="shared" si="2"/>
        <v>-6.4659454244769148E-4</v>
      </c>
      <c r="I12" s="46">
        <v>72.89</v>
      </c>
      <c r="L12" s="40">
        <v>73.59</v>
      </c>
      <c r="M12" s="65">
        <f t="shared" si="3"/>
        <v>-6.0033209860774074E-2</v>
      </c>
      <c r="N12" s="66">
        <f t="shared" si="4"/>
        <v>-4.8545697291223319E-4</v>
      </c>
      <c r="O12" s="40">
        <v>72.760000000000005</v>
      </c>
      <c r="P12" s="65">
        <f t="shared" si="5"/>
        <v>-7.0634819261719259E-2</v>
      </c>
      <c r="Q12" s="67">
        <f t="shared" si="6"/>
        <v>-5.7118660855418057E-4</v>
      </c>
      <c r="R12" s="40">
        <v>72.37</v>
      </c>
      <c r="S12" s="65">
        <f t="shared" si="7"/>
        <v>-7.5616298377826047E-2</v>
      </c>
      <c r="T12" s="66">
        <f t="shared" si="8"/>
        <v>-6.1146920843413183E-4</v>
      </c>
    </row>
    <row r="13" spans="1:23" x14ac:dyDescent="0.3">
      <c r="A13" s="3">
        <v>9</v>
      </c>
      <c r="B13" s="60" t="s">
        <v>14</v>
      </c>
      <c r="C13" s="7">
        <v>2547.98</v>
      </c>
      <c r="D13" s="8">
        <v>142.28</v>
      </c>
      <c r="E13" s="63">
        <f t="shared" si="0"/>
        <v>2.8848011946521982E-3</v>
      </c>
      <c r="F13" s="46">
        <v>2571.44</v>
      </c>
      <c r="G13" s="63">
        <f t="shared" si="1"/>
        <v>9.2072936208290636E-3</v>
      </c>
      <c r="H13" s="64">
        <f t="shared" si="2"/>
        <v>2.6561211636881246E-5</v>
      </c>
      <c r="I13" s="46">
        <v>141.29</v>
      </c>
      <c r="L13" s="40">
        <v>149.99</v>
      </c>
      <c r="M13" s="65">
        <f t="shared" si="3"/>
        <v>5.4188923249929771E-2</v>
      </c>
      <c r="N13" s="66">
        <f t="shared" si="4"/>
        <v>1.5632427052831367E-4</v>
      </c>
      <c r="O13" s="40">
        <v>152.28</v>
      </c>
      <c r="P13" s="65">
        <f t="shared" si="5"/>
        <v>7.0283947146471751E-2</v>
      </c>
      <c r="Q13" s="67">
        <f t="shared" si="6"/>
        <v>2.0275521469301366E-4</v>
      </c>
      <c r="R13" s="40">
        <v>148.13999999999999</v>
      </c>
      <c r="S13" s="65">
        <f t="shared" si="7"/>
        <v>4.1186393027832342E-2</v>
      </c>
      <c r="T13" s="66">
        <f t="shared" si="8"/>
        <v>1.1881455581010571E-4</v>
      </c>
    </row>
    <row r="14" spans="1:23" x14ac:dyDescent="0.3">
      <c r="A14" s="3">
        <v>10</v>
      </c>
      <c r="B14" s="60" t="s">
        <v>15</v>
      </c>
      <c r="C14" s="7">
        <v>1994.76</v>
      </c>
      <c r="D14" s="8">
        <v>138.05000000000001</v>
      </c>
      <c r="E14" s="63">
        <f t="shared" si="0"/>
        <v>2.2584502354980884E-3</v>
      </c>
      <c r="F14" s="46">
        <v>2014.27</v>
      </c>
      <c r="G14" s="63">
        <f t="shared" si="1"/>
        <v>9.7806252381238794E-3</v>
      </c>
      <c r="H14" s="64">
        <f t="shared" si="2"/>
        <v>2.2089055372359423E-5</v>
      </c>
      <c r="I14" s="46">
        <v>140.13999999999999</v>
      </c>
      <c r="L14" s="40">
        <v>137.06</v>
      </c>
      <c r="M14" s="65">
        <f t="shared" si="3"/>
        <v>-7.1713147410359217E-3</v>
      </c>
      <c r="N14" s="66">
        <f t="shared" si="4"/>
        <v>-1.619605746572349E-5</v>
      </c>
      <c r="O14" s="40">
        <v>139.9</v>
      </c>
      <c r="P14" s="65">
        <f t="shared" si="5"/>
        <v>1.3400941687794234E-2</v>
      </c>
      <c r="Q14" s="67">
        <f t="shared" si="6"/>
        <v>3.026535991069504E-5</v>
      </c>
      <c r="R14" s="40">
        <v>141.21</v>
      </c>
      <c r="S14" s="65">
        <f t="shared" si="7"/>
        <v>2.2890257153205334E-2</v>
      </c>
      <c r="T14" s="66">
        <f t="shared" si="8"/>
        <v>5.1696506658268394E-5</v>
      </c>
    </row>
    <row r="15" spans="1:23" x14ac:dyDescent="0.3">
      <c r="A15" s="3">
        <v>11</v>
      </c>
      <c r="B15" s="60" t="s">
        <v>16</v>
      </c>
      <c r="C15" s="7">
        <v>456.77</v>
      </c>
      <c r="D15" s="8">
        <v>69.7</v>
      </c>
      <c r="E15" s="63">
        <f t="shared" si="0"/>
        <v>5.1715109289762263E-4</v>
      </c>
      <c r="F15" s="46">
        <v>430.17</v>
      </c>
      <c r="G15" s="63">
        <f t="shared" si="1"/>
        <v>-5.8234997920178576E-2</v>
      </c>
      <c r="H15" s="64">
        <f t="shared" si="2"/>
        <v>-3.0116292819311131E-5</v>
      </c>
      <c r="I15" s="46">
        <v>68.92</v>
      </c>
      <c r="L15" s="40">
        <v>72.599999999999994</v>
      </c>
      <c r="M15" s="65">
        <f t="shared" si="3"/>
        <v>4.1606886657101744E-2</v>
      </c>
      <c r="N15" s="66">
        <f t="shared" si="4"/>
        <v>2.1517046906787679E-5</v>
      </c>
      <c r="O15" s="40">
        <v>69.16</v>
      </c>
      <c r="P15" s="65">
        <f t="shared" si="5"/>
        <v>-7.7474892395983678E-3</v>
      </c>
      <c r="Q15" s="67">
        <f t="shared" si="6"/>
        <v>-4.0066225274708673E-6</v>
      </c>
      <c r="R15" s="40">
        <v>67.66</v>
      </c>
      <c r="S15" s="65">
        <f t="shared" si="7"/>
        <v>-2.9268292682926918E-2</v>
      </c>
      <c r="T15" s="66">
        <f t="shared" si="8"/>
        <v>-1.5136129548223147E-5</v>
      </c>
    </row>
    <row r="16" spans="1:23" x14ac:dyDescent="0.3">
      <c r="A16" s="3">
        <v>12</v>
      </c>
      <c r="B16" s="60" t="s">
        <v>17</v>
      </c>
      <c r="C16" s="7">
        <v>216.87</v>
      </c>
      <c r="D16" s="8">
        <v>35.700000000000003</v>
      </c>
      <c r="E16" s="63">
        <f t="shared" si="0"/>
        <v>2.4553836179413583E-4</v>
      </c>
      <c r="F16" s="46">
        <v>236.12</v>
      </c>
      <c r="G16" s="63">
        <f t="shared" si="1"/>
        <v>8.8762853322266799E-2</v>
      </c>
      <c r="H16" s="64">
        <f t="shared" si="2"/>
        <v>2.1794685592922557E-5</v>
      </c>
      <c r="I16" s="46">
        <v>38.42</v>
      </c>
      <c r="L16" s="40">
        <v>38.08</v>
      </c>
      <c r="M16" s="65">
        <f t="shared" si="3"/>
        <v>6.6666666666666541E-2</v>
      </c>
      <c r="N16" s="66">
        <f t="shared" si="4"/>
        <v>1.6369224119609026E-5</v>
      </c>
      <c r="O16" s="40">
        <v>37.99</v>
      </c>
      <c r="P16" s="65">
        <f t="shared" si="5"/>
        <v>6.4145658263305289E-2</v>
      </c>
      <c r="Q16" s="67">
        <f t="shared" si="6"/>
        <v>1.5750219846178453E-5</v>
      </c>
      <c r="R16" s="40">
        <v>37.69</v>
      </c>
      <c r="S16" s="65">
        <f t="shared" si="7"/>
        <v>5.5742296918767358E-2</v>
      </c>
      <c r="T16" s="66">
        <f t="shared" si="8"/>
        <v>1.3686872268076442E-5</v>
      </c>
    </row>
    <row r="17" spans="1:20" x14ac:dyDescent="0.3">
      <c r="A17" s="3">
        <v>13</v>
      </c>
      <c r="B17" s="60" t="s">
        <v>18</v>
      </c>
      <c r="C17" s="7">
        <v>126.72</v>
      </c>
      <c r="D17" s="8">
        <v>35.700000000000003</v>
      </c>
      <c r="E17" s="63">
        <f t="shared" si="0"/>
        <v>1.4347130173169591E-4</v>
      </c>
      <c r="F17" s="46">
        <v>121.68</v>
      </c>
      <c r="G17" s="63">
        <f t="shared" si="1"/>
        <v>-3.977272727272721E-2</v>
      </c>
      <c r="H17" s="64">
        <f t="shared" si="2"/>
        <v>-5.7062449552378962E-6</v>
      </c>
      <c r="I17" s="46">
        <v>33.450000000000003</v>
      </c>
      <c r="L17" s="40">
        <v>33.65</v>
      </c>
      <c r="M17" s="65">
        <f t="shared" si="3"/>
        <v>-5.7422969187675185E-2</v>
      </c>
      <c r="N17" s="66">
        <f t="shared" si="4"/>
        <v>-8.2385481386548233E-6</v>
      </c>
      <c r="O17" s="40">
        <v>36.08</v>
      </c>
      <c r="P17" s="65">
        <f t="shared" si="5"/>
        <v>1.0644257703081104E-2</v>
      </c>
      <c r="Q17" s="67">
        <f t="shared" si="6"/>
        <v>1.5271455086286777E-6</v>
      </c>
      <c r="R17" s="40">
        <v>35.520000000000003</v>
      </c>
      <c r="S17" s="65">
        <f t="shared" si="7"/>
        <v>-5.0420168067226807E-3</v>
      </c>
      <c r="T17" s="66">
        <f t="shared" si="8"/>
        <v>-7.2338471461359168E-7</v>
      </c>
    </row>
    <row r="18" spans="1:20" x14ac:dyDescent="0.3">
      <c r="A18" s="3">
        <v>14</v>
      </c>
      <c r="B18" s="61" t="s">
        <v>19</v>
      </c>
      <c r="C18" s="7">
        <v>22.58</v>
      </c>
      <c r="D18" s="8">
        <v>1.6</v>
      </c>
      <c r="E18" s="63">
        <f t="shared" si="0"/>
        <v>2.5564883152633314E-5</v>
      </c>
      <c r="F18" s="46">
        <v>22.15</v>
      </c>
      <c r="G18" s="63">
        <f t="shared" si="1"/>
        <v>-1.904340124003542E-2</v>
      </c>
      <c r="H18" s="64">
        <f t="shared" si="2"/>
        <v>-4.8684232753021791E-7</v>
      </c>
      <c r="I18" s="46">
        <v>1.58</v>
      </c>
      <c r="L18" s="40">
        <v>1.57</v>
      </c>
      <c r="M18" s="65">
        <f t="shared" si="3"/>
        <v>-1.8750000000000017E-2</v>
      </c>
      <c r="N18" s="66">
        <f t="shared" si="4"/>
        <v>-4.7934155911187505E-7</v>
      </c>
      <c r="O18" s="40">
        <v>1.51</v>
      </c>
      <c r="P18" s="65">
        <f t="shared" si="5"/>
        <v>-5.625000000000005E-2</v>
      </c>
      <c r="Q18" s="67">
        <f t="shared" si="6"/>
        <v>-1.4380246773356252E-6</v>
      </c>
      <c r="R18" s="40">
        <v>1.58</v>
      </c>
      <c r="S18" s="65">
        <f t="shared" si="7"/>
        <v>-1.2500000000000011E-2</v>
      </c>
      <c r="T18" s="66">
        <f t="shared" si="8"/>
        <v>-3.1956103940791672E-7</v>
      </c>
    </row>
    <row r="19" spans="1:20" x14ac:dyDescent="0.3">
      <c r="C19" s="56">
        <f>SUM(C5:C18)</f>
        <v>883242.83999999985</v>
      </c>
      <c r="E19" s="65"/>
      <c r="G19" s="65"/>
      <c r="H19" s="66">
        <f>SUM(H5:H18)</f>
        <v>5.0507061002611278E-3</v>
      </c>
      <c r="M19" s="65"/>
      <c r="N19" s="66">
        <f>SUM(N5:N18)</f>
        <v>1.0233471248247849E-2</v>
      </c>
      <c r="P19" s="65">
        <f>SUM(P5:P18)</f>
        <v>8.8940119236668252E-2</v>
      </c>
      <c r="Q19" s="67">
        <f>SUM(Q5:Q18)</f>
        <v>2.0615903353916231E-2</v>
      </c>
      <c r="S19" s="65"/>
      <c r="T19" s="66">
        <f>SUM(T5:T18)</f>
        <v>-4.2537277092132841E-3</v>
      </c>
    </row>
    <row r="20" spans="1:20" x14ac:dyDescent="0.3">
      <c r="C20" s="40" t="s">
        <v>20</v>
      </c>
      <c r="E20" s="65"/>
      <c r="G20" s="65"/>
      <c r="M20" s="65"/>
      <c r="N20" s="66"/>
      <c r="P20" s="65"/>
      <c r="Q20" s="67"/>
      <c r="S20" s="65"/>
      <c r="T20" s="66"/>
    </row>
    <row r="22" spans="1:20" x14ac:dyDescent="0.3">
      <c r="B22" s="42" t="s">
        <v>101</v>
      </c>
      <c r="C22" s="42">
        <v>1000</v>
      </c>
      <c r="H22" s="44">
        <f>H19*C22+C22</f>
        <v>1005.0507061002611</v>
      </c>
      <c r="N22" s="40">
        <f>N19*C22+C22</f>
        <v>1010.2334712482478</v>
      </c>
      <c r="Q22" s="40">
        <f>Q19*C22+C22</f>
        <v>1020.6159033539162</v>
      </c>
      <c r="T22" s="40">
        <f>T19*C22+C22</f>
        <v>995.74627229078669</v>
      </c>
    </row>
  </sheetData>
  <mergeCells count="3">
    <mergeCell ref="A1:I1"/>
    <mergeCell ref="O3:Q3"/>
    <mergeCell ref="R3: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0EFF2-E77F-40FB-B452-2A2C33C403AB}">
  <dimension ref="A1:P54"/>
  <sheetViews>
    <sheetView workbookViewId="0">
      <selection activeCell="A55" sqref="A55"/>
    </sheetView>
  </sheetViews>
  <sheetFormatPr defaultRowHeight="14.4" x14ac:dyDescent="0.3"/>
  <cols>
    <col min="13" max="13" width="22.88671875" bestFit="1" customWidth="1"/>
    <col min="14" max="14" width="15.33203125" bestFit="1" customWidth="1"/>
    <col min="15" max="15" width="15.21875" bestFit="1" customWidth="1"/>
    <col min="16" max="16" width="18" bestFit="1" customWidth="1"/>
  </cols>
  <sheetData>
    <row r="1" spans="1:16" x14ac:dyDescent="0.3">
      <c r="A1" t="s">
        <v>56</v>
      </c>
    </row>
    <row r="3" spans="1:16" x14ac:dyDescent="0.3">
      <c r="A3" t="s">
        <v>57</v>
      </c>
      <c r="M3" t="s">
        <v>46</v>
      </c>
      <c r="N3" t="s">
        <v>47</v>
      </c>
      <c r="O3" t="s">
        <v>48</v>
      </c>
      <c r="P3" t="s">
        <v>49</v>
      </c>
    </row>
    <row r="4" spans="1:16" x14ac:dyDescent="0.3">
      <c r="L4">
        <v>1</v>
      </c>
      <c r="M4" t="s">
        <v>88</v>
      </c>
      <c r="N4" t="s">
        <v>58</v>
      </c>
      <c r="O4" t="s">
        <v>60</v>
      </c>
      <c r="P4" t="s">
        <v>61</v>
      </c>
    </row>
    <row r="5" spans="1:16" x14ac:dyDescent="0.3">
      <c r="I5" t="s">
        <v>58</v>
      </c>
      <c r="L5">
        <v>2</v>
      </c>
      <c r="M5" t="s">
        <v>12</v>
      </c>
      <c r="N5" t="s">
        <v>89</v>
      </c>
    </row>
    <row r="6" spans="1:16" ht="18" x14ac:dyDescent="0.35">
      <c r="I6" t="s">
        <v>59</v>
      </c>
      <c r="L6" s="36">
        <v>3</v>
      </c>
      <c r="M6" s="38" t="s">
        <v>13</v>
      </c>
      <c r="N6" t="s">
        <v>89</v>
      </c>
      <c r="O6" t="s">
        <v>90</v>
      </c>
    </row>
    <row r="7" spans="1:16" ht="18" x14ac:dyDescent="0.35">
      <c r="L7" s="36">
        <v>4</v>
      </c>
      <c r="M7" s="38" t="s">
        <v>14</v>
      </c>
    </row>
    <row r="8" spans="1:16" ht="18" x14ac:dyDescent="0.35">
      <c r="L8" s="36">
        <v>5</v>
      </c>
      <c r="M8" s="38" t="s">
        <v>17</v>
      </c>
    </row>
    <row r="21" spans="1:9" x14ac:dyDescent="0.3">
      <c r="A21" t="s">
        <v>62</v>
      </c>
    </row>
    <row r="24" spans="1:9" x14ac:dyDescent="0.3">
      <c r="I24" t="s">
        <v>87</v>
      </c>
    </row>
    <row r="38" spans="1:10" x14ac:dyDescent="0.3">
      <c r="A38">
        <v>3</v>
      </c>
    </row>
    <row r="41" spans="1:10" x14ac:dyDescent="0.3">
      <c r="J41" t="s">
        <v>87</v>
      </c>
    </row>
    <row r="54" spans="1:1" x14ac:dyDescent="0.3">
      <c r="A54">
        <v>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E9170-6FCE-49E8-A63A-F184562EE68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A47F9-DA14-4B03-BF1C-1691B7B0C1D2}">
  <dimension ref="A1:M13"/>
  <sheetViews>
    <sheetView workbookViewId="0">
      <selection activeCell="D13" sqref="D13"/>
    </sheetView>
  </sheetViews>
  <sheetFormatPr defaultRowHeight="14.4" x14ac:dyDescent="0.3"/>
  <cols>
    <col min="1" max="1" width="15.21875" bestFit="1" customWidth="1"/>
    <col min="3" max="3" width="15.21875" bestFit="1" customWidth="1"/>
    <col min="4" max="4" width="18" bestFit="1" customWidth="1"/>
  </cols>
  <sheetData>
    <row r="1" spans="1:13" x14ac:dyDescent="0.3">
      <c r="A1" t="s">
        <v>45</v>
      </c>
      <c r="G1" t="s">
        <v>52</v>
      </c>
      <c r="M1" t="s">
        <v>55</v>
      </c>
    </row>
    <row r="3" spans="1:13" x14ac:dyDescent="0.3">
      <c r="A3" t="s">
        <v>46</v>
      </c>
      <c r="B3" t="s">
        <v>47</v>
      </c>
      <c r="C3" t="s">
        <v>48</v>
      </c>
      <c r="D3" t="s">
        <v>49</v>
      </c>
      <c r="G3" t="s">
        <v>54</v>
      </c>
    </row>
    <row r="4" spans="1:13" x14ac:dyDescent="0.3">
      <c r="C4" t="s">
        <v>50</v>
      </c>
      <c r="D4" t="s">
        <v>51</v>
      </c>
      <c r="G4" t="s">
        <v>53</v>
      </c>
    </row>
    <row r="13" spans="1:13" x14ac:dyDescent="0.3">
      <c r="C13" t="s">
        <v>75</v>
      </c>
      <c r="D13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5A5C-5C91-4C88-ABEA-C827B4D36EB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4EC12-8DFF-428A-84F1-02C53E5925C8}">
  <dimension ref="A1"/>
  <sheetViews>
    <sheetView workbookViewId="0">
      <selection activeCell="O15" sqref="O1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9ACE-B6B4-46E2-9880-56B24C40B8BA}">
  <dimension ref="A1:M11"/>
  <sheetViews>
    <sheetView workbookViewId="0">
      <selection activeCell="I22" sqref="I22"/>
    </sheetView>
  </sheetViews>
  <sheetFormatPr defaultRowHeight="14.4" x14ac:dyDescent="0.3"/>
  <cols>
    <col min="1" max="1" width="10.6640625" bestFit="1" customWidth="1"/>
    <col min="2" max="2" width="11.109375" bestFit="1" customWidth="1"/>
  </cols>
  <sheetData>
    <row r="1" spans="1:13" x14ac:dyDescent="0.3">
      <c r="A1" t="s">
        <v>69</v>
      </c>
      <c r="B1" t="s">
        <v>70</v>
      </c>
      <c r="L1" t="s">
        <v>69</v>
      </c>
    </row>
    <row r="2" spans="1:13" x14ac:dyDescent="0.3">
      <c r="A2" s="29">
        <v>0.01</v>
      </c>
      <c r="B2" s="29">
        <v>0.1</v>
      </c>
      <c r="C2" t="s">
        <v>64</v>
      </c>
      <c r="D2">
        <v>1400</v>
      </c>
      <c r="E2">
        <v>1540</v>
      </c>
      <c r="F2" s="28">
        <f t="shared" ref="F2:F7" si="0">(E2-D2)/D2</f>
        <v>0.1</v>
      </c>
      <c r="G2" s="28">
        <f>F2*B2</f>
        <v>1.0000000000000002E-2</v>
      </c>
      <c r="H2" s="31">
        <f>G2*$C$11</f>
        <v>750.00000000000011</v>
      </c>
      <c r="I2" s="28"/>
      <c r="J2">
        <v>1260</v>
      </c>
      <c r="K2" s="28">
        <f t="shared" ref="K2:K7" si="1">(J2-D2)/D2</f>
        <v>-0.1</v>
      </c>
      <c r="L2" s="30">
        <f t="shared" ref="L2:L7" si="2">K2*B2</f>
        <v>-1.0000000000000002E-2</v>
      </c>
      <c r="M2">
        <f>L2*$C$11</f>
        <v>-750.00000000000011</v>
      </c>
    </row>
    <row r="3" spans="1:13" x14ac:dyDescent="0.3">
      <c r="A3" s="29">
        <v>0.01</v>
      </c>
      <c r="B3" s="29">
        <v>0.1</v>
      </c>
      <c r="C3" t="s">
        <v>65</v>
      </c>
      <c r="D3">
        <v>800</v>
      </c>
      <c r="E3">
        <v>880</v>
      </c>
      <c r="F3" s="28">
        <f t="shared" si="0"/>
        <v>0.1</v>
      </c>
      <c r="G3" s="28">
        <f t="shared" ref="G3:G7" si="3">F3*B3</f>
        <v>1.0000000000000002E-2</v>
      </c>
      <c r="H3" s="31">
        <f t="shared" ref="H3:H7" si="4">G3*$C$11</f>
        <v>750.00000000000011</v>
      </c>
      <c r="I3" s="28"/>
      <c r="J3">
        <v>720</v>
      </c>
      <c r="K3" s="28">
        <f t="shared" si="1"/>
        <v>-0.1</v>
      </c>
      <c r="L3" s="30">
        <f t="shared" si="2"/>
        <v>-1.0000000000000002E-2</v>
      </c>
      <c r="M3">
        <f t="shared" ref="M3:M8" si="5">L3*$C$11</f>
        <v>-750.00000000000011</v>
      </c>
    </row>
    <row r="4" spans="1:13" x14ac:dyDescent="0.3">
      <c r="A4" s="29">
        <v>0.01</v>
      </c>
      <c r="B4" s="29">
        <v>0.1</v>
      </c>
      <c r="C4" t="s">
        <v>66</v>
      </c>
      <c r="D4">
        <v>1200</v>
      </c>
      <c r="E4">
        <v>1320</v>
      </c>
      <c r="F4" s="28">
        <f t="shared" si="0"/>
        <v>0.1</v>
      </c>
      <c r="G4" s="28">
        <f t="shared" si="3"/>
        <v>1.0000000000000002E-2</v>
      </c>
      <c r="H4" s="31">
        <f t="shared" si="4"/>
        <v>750.00000000000011</v>
      </c>
      <c r="I4" s="28"/>
      <c r="J4">
        <v>1320</v>
      </c>
      <c r="K4" s="28">
        <f t="shared" si="1"/>
        <v>0.1</v>
      </c>
      <c r="L4" s="30">
        <f t="shared" si="2"/>
        <v>1.0000000000000002E-2</v>
      </c>
      <c r="M4">
        <f t="shared" si="5"/>
        <v>750.00000000000011</v>
      </c>
    </row>
    <row r="5" spans="1:13" x14ac:dyDescent="0.3">
      <c r="A5" s="29">
        <v>0.05</v>
      </c>
      <c r="B5" s="29">
        <v>0.05</v>
      </c>
      <c r="C5" t="s">
        <v>71</v>
      </c>
      <c r="D5">
        <v>2300</v>
      </c>
      <c r="E5">
        <v>2530</v>
      </c>
      <c r="F5" s="28">
        <f t="shared" si="0"/>
        <v>0.1</v>
      </c>
      <c r="G5" s="28">
        <f t="shared" si="3"/>
        <v>5.000000000000001E-3</v>
      </c>
      <c r="H5" s="31">
        <f t="shared" si="4"/>
        <v>375.00000000000006</v>
      </c>
      <c r="I5" s="28"/>
      <c r="J5">
        <v>2530</v>
      </c>
      <c r="K5" s="28">
        <f t="shared" si="1"/>
        <v>0.1</v>
      </c>
      <c r="L5" s="30">
        <f t="shared" si="2"/>
        <v>5.000000000000001E-3</v>
      </c>
      <c r="M5">
        <f t="shared" si="5"/>
        <v>375.00000000000006</v>
      </c>
    </row>
    <row r="6" spans="1:13" x14ac:dyDescent="0.3">
      <c r="A6" s="30">
        <v>-5.0000000000000001E-3</v>
      </c>
      <c r="B6" s="29">
        <v>0.05</v>
      </c>
      <c r="C6" t="s">
        <v>67</v>
      </c>
      <c r="D6">
        <v>1300</v>
      </c>
      <c r="E6">
        <v>1170</v>
      </c>
      <c r="F6" s="28">
        <f t="shared" si="0"/>
        <v>-0.1</v>
      </c>
      <c r="G6" s="28">
        <f t="shared" si="3"/>
        <v>-5.000000000000001E-3</v>
      </c>
      <c r="H6" s="31">
        <f t="shared" si="4"/>
        <v>-375.00000000000006</v>
      </c>
      <c r="I6" s="28"/>
      <c r="J6">
        <v>1430</v>
      </c>
      <c r="K6" s="28">
        <f t="shared" si="1"/>
        <v>0.1</v>
      </c>
      <c r="L6" s="30">
        <f t="shared" si="2"/>
        <v>5.000000000000001E-3</v>
      </c>
      <c r="M6">
        <f t="shared" si="5"/>
        <v>375.00000000000006</v>
      </c>
    </row>
    <row r="7" spans="1:13" x14ac:dyDescent="0.3">
      <c r="A7" s="29">
        <v>-0.01</v>
      </c>
      <c r="B7" s="29">
        <v>0.05</v>
      </c>
      <c r="C7" t="s">
        <v>68</v>
      </c>
      <c r="D7">
        <v>300</v>
      </c>
      <c r="E7">
        <v>240</v>
      </c>
      <c r="F7" s="28">
        <f t="shared" si="0"/>
        <v>-0.2</v>
      </c>
      <c r="G7" s="28">
        <f t="shared" si="3"/>
        <v>-1.0000000000000002E-2</v>
      </c>
      <c r="H7" s="31">
        <f t="shared" si="4"/>
        <v>-750.00000000000011</v>
      </c>
      <c r="I7" s="28"/>
      <c r="J7">
        <v>330</v>
      </c>
      <c r="K7" s="28">
        <f t="shared" si="1"/>
        <v>0.1</v>
      </c>
      <c r="L7" s="30">
        <f t="shared" si="2"/>
        <v>5.000000000000001E-3</v>
      </c>
      <c r="M7">
        <f t="shared" si="5"/>
        <v>375.00000000000006</v>
      </c>
    </row>
    <row r="8" spans="1:13" x14ac:dyDescent="0.3">
      <c r="H8" s="31">
        <f>SUM(H2:H7)</f>
        <v>1500.0000000000005</v>
      </c>
      <c r="L8" s="30">
        <f>SUM(L2:L7)</f>
        <v>5.000000000000001E-3</v>
      </c>
      <c r="M8">
        <f t="shared" si="5"/>
        <v>375.00000000000006</v>
      </c>
    </row>
    <row r="9" spans="1:13" x14ac:dyDescent="0.3">
      <c r="M9">
        <f>SUM(M2:M8)</f>
        <v>750.00000000000011</v>
      </c>
    </row>
    <row r="11" spans="1:13" x14ac:dyDescent="0.3">
      <c r="C11">
        <v>75000</v>
      </c>
      <c r="H11">
        <f>H8+C11</f>
        <v>76500</v>
      </c>
      <c r="M11">
        <f>C11+M9</f>
        <v>75750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Steel Sector</vt:lpstr>
      <vt:lpstr>Asset Allocation</vt:lpstr>
      <vt:lpstr>Indexing</vt:lpstr>
      <vt:lpstr>Short Term</vt:lpstr>
      <vt:lpstr>Mid Term</vt:lpstr>
      <vt:lpstr>H</vt:lpstr>
      <vt:lpstr>Long Term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Singla</dc:creator>
  <cp:lastModifiedBy>Aditi Singla</cp:lastModifiedBy>
  <dcterms:created xsi:type="dcterms:W3CDTF">2026-05-14T15:35:20Z</dcterms:created>
  <dcterms:modified xsi:type="dcterms:W3CDTF">2026-05-31T18:05:46Z</dcterms:modified>
</cp:coreProperties>
</file>